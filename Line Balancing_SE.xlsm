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_PC\OneDrive - VNU-HCMUS\Desktop\SE\"/>
    </mc:Choice>
  </mc:AlternateContent>
  <xr:revisionPtr revIDLastSave="0" documentId="13_ncr:1_{FFFA3111-8DCF-4952-A73E-7F369F061479}" xr6:coauthVersionLast="47" xr6:coauthVersionMax="47" xr10:uidLastSave="{00000000-0000-0000-0000-000000000000}"/>
  <bookViews>
    <workbookView xWindow="4080" yWindow="945" windowWidth="16155" windowHeight="11385" tabRatio="850" firstSheet="12" activeTab="15" xr2:uid="{C51D2B1B-F9DB-4ACF-927E-991271A87C35}"/>
  </bookViews>
  <sheets>
    <sheet name="Input_Data" sheetId="22" r:id="rId1"/>
    <sheet name="Input_Data_5" sheetId="37" r:id="rId2"/>
    <sheet name="Input_Data_4" sheetId="34" r:id="rId3"/>
    <sheet name="Input_Data_3" sheetId="32" r:id="rId4"/>
    <sheet name="Input_Data_2" sheetId="30" r:id="rId5"/>
    <sheet name="Input_Data_1" sheetId="26" r:id="rId6"/>
    <sheet name="hat1" sheetId="25" r:id="rId7"/>
    <sheet name="hat2" sheetId="35" r:id="rId8"/>
    <sheet name="hat3" sheetId="31" r:id="rId9"/>
    <sheet name="hat4" sheetId="33" r:id="rId10"/>
    <sheet name="Line_Details" sheetId="5" r:id="rId11"/>
    <sheet name="Workstation_Allocation" sheetId="17" r:id="rId12"/>
    <sheet name="Allocation_Graph" sheetId="16" r:id="rId13"/>
    <sheet name="Output" sheetId="15" r:id="rId14"/>
    <sheet name="cap_ultra_merge" sheetId="42" r:id="rId15"/>
    <sheet name="cap_ultra_merge_1" sheetId="43" r:id="rId16"/>
    <sheet name="cap_ultra" sheetId="41" r:id="rId17"/>
    <sheet name="hat5" sheetId="36" r:id="rId18"/>
    <sheet name="Sơ đồ công đoạn (3)" sheetId="40" r:id="rId19"/>
    <sheet name="Example_1" sheetId="8" r:id="rId20"/>
    <sheet name="Example_1_Alt" sheetId="21" r:id="rId21"/>
    <sheet name="Example_2" sheetId="10" r:id="rId22"/>
    <sheet name="Sheet2" sheetId="14" state="hidden" r:id="rId23"/>
    <sheet name="Colors" sheetId="13" state="hidden" r:id="rId24"/>
  </sheets>
  <definedNames>
    <definedName name="_xlnm._FilterDatabase" localSheetId="23" hidden="1">Colors!$A$1:$C$120</definedName>
    <definedName name="_xlnm._FilterDatabase" localSheetId="19" hidden="1">Example_1!$B$4:$G$69</definedName>
    <definedName name="_xlnm._FilterDatabase" localSheetId="20" hidden="1">Example_1_Alt!$B$4:$G$58</definedName>
    <definedName name="_xlnm._FilterDatabase" localSheetId="21" hidden="1">Example_2!$B$4:$G$16</definedName>
    <definedName name="_xlnm._FilterDatabase" localSheetId="10" hidden="1">Line_Details!$B$4:$G$58</definedName>
    <definedName name="_xlnm._FilterDatabase" localSheetId="22" hidden="1">Sheet2!$A$1:$M$338</definedName>
    <definedName name="ExternalData_1" localSheetId="11" hidden="1">Workstation_Allocation!$B$4:$G$97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34" l="1"/>
  <c r="C13" i="34"/>
  <c r="I12" i="31"/>
  <c r="C27" i="37"/>
  <c r="C14" i="37"/>
  <c r="C16" i="37" s="1"/>
  <c r="C17" i="37" s="1"/>
  <c r="C18" i="37"/>
  <c r="C11" i="37"/>
  <c r="C12" i="37" s="1"/>
  <c r="C13" i="37" s="1"/>
  <c r="C15" i="37" l="1"/>
  <c r="C18" i="30"/>
  <c r="C17" i="30"/>
  <c r="C14" i="30"/>
  <c r="C18" i="22"/>
  <c r="C17" i="22"/>
  <c r="C14" i="22"/>
  <c r="C14" i="34"/>
  <c r="C15" i="34" s="1"/>
  <c r="C18" i="34"/>
  <c r="C11" i="34"/>
  <c r="C12" i="34" s="1"/>
  <c r="C14" i="32"/>
  <c r="C18" i="32"/>
  <c r="C15" i="32"/>
  <c r="C11" i="32"/>
  <c r="C12" i="32" s="1"/>
  <c r="C13" i="32" s="1"/>
  <c r="C16" i="32" s="1"/>
  <c r="C17" i="32" s="1"/>
  <c r="C17" i="34" l="1"/>
  <c r="C14" i="26"/>
  <c r="C18" i="26"/>
  <c r="C15" i="30"/>
  <c r="C11" i="30"/>
  <c r="C12" i="30" s="1"/>
  <c r="C13" i="30" s="1"/>
  <c r="C12" i="26"/>
  <c r="C16" i="30" l="1"/>
  <c r="C15" i="26"/>
  <c r="C13" i="26"/>
  <c r="C16" i="26" s="1"/>
  <c r="C17" i="26" s="1"/>
  <c r="C7" i="22" l="1"/>
  <c r="C13" i="22" l="1"/>
  <c r="C16" i="22" s="1"/>
  <c r="C11" i="22"/>
  <c r="C12" i="22"/>
  <c r="C7" i="15"/>
  <c r="C6" i="15"/>
  <c r="C5" i="15"/>
  <c r="C15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0" authorId="0" shapeId="0" xr:uid="{E65F06B1-CED8-4875-A5E8-A00ACC5B401C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8" authorId="0" shapeId="0" xr:uid="{B98D546E-F463-4DFF-9549-FE1009207C32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42" authorId="0" shapeId="0" xr:uid="{C584C49F-3565-4FE5-BC8B-5745898EF105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710B8-98E8-4FC0-BC6C-4E65E3B0E897}" keepAlive="1" name="Query - Feasable_Solution" description="Connection to the 'Feasable_Solution' query in the workbook." type="5" refreshedVersion="7" saveData="1">
    <dbPr connection="Provider=Microsoft.Mashup.OleDb.1;Data Source=$Workbook$;Location=Feasable_Solution;Extended Properties=&quot;&quot;" command="SELECT * FROM [Feasable_Solution]"/>
  </connection>
</connections>
</file>

<file path=xl/sharedStrings.xml><?xml version="1.0" encoding="utf-8"?>
<sst xmlns="http://schemas.openxmlformats.org/spreadsheetml/2006/main" count="2926" uniqueCount="1224">
  <si>
    <t>Sewing Line Details</t>
  </si>
  <si>
    <t>Precedence</t>
  </si>
  <si>
    <t>No of Operators</t>
  </si>
  <si>
    <t>Resource</t>
  </si>
  <si>
    <t>Buttonhole on left flybox</t>
  </si>
  <si>
    <t>BH</t>
  </si>
  <si>
    <t>Front rise overlocks</t>
  </si>
  <si>
    <t>3thread O/L</t>
  </si>
  <si>
    <t>Knee patch attaches</t>
  </si>
  <si>
    <t>SN/L</t>
  </si>
  <si>
    <t>Side pocket flatlock</t>
  </si>
  <si>
    <t>F/L</t>
  </si>
  <si>
    <t>Side pocket overlocks</t>
  </si>
  <si>
    <t>5 thread O/L</t>
  </si>
  <si>
    <t>Right flybox overlock</t>
  </si>
  <si>
    <t>Side pocket attaches</t>
  </si>
  <si>
    <t>Side pocket topstitches</t>
  </si>
  <si>
    <t>Right flybox attach</t>
  </si>
  <si>
    <t>Fly attach</t>
  </si>
  <si>
    <t>Front prep bundling</t>
  </si>
  <si>
    <t>Helper</t>
  </si>
  <si>
    <t>Back marking</t>
  </si>
  <si>
    <t>Back patch pressing</t>
  </si>
  <si>
    <t>Back patch attaches</t>
  </si>
  <si>
    <t>Hip pocket cutting</t>
  </si>
  <si>
    <t>AWM</t>
  </si>
  <si>
    <t>Hip pocket overlocks</t>
  </si>
  <si>
    <t>Hip flap folding</t>
  </si>
  <si>
    <t>Buttonhole on hip flap</t>
  </si>
  <si>
    <t>Hip flap runstitch</t>
  </si>
  <si>
    <t>Hip flap turning</t>
  </si>
  <si>
    <t>TM</t>
  </si>
  <si>
    <t>Hip flap topstitches</t>
  </si>
  <si>
    <t>Hip pocket finish &amp;</t>
  </si>
  <si>
    <t>Hip flap attaches</t>
  </si>
  <si>
    <t>Back prep bundling</t>
  </si>
  <si>
    <t>Front &amp; back matching</t>
  </si>
  <si>
    <t>Side seam overlocks</t>
  </si>
  <si>
    <t>Side seam topstitches</t>
  </si>
  <si>
    <t>F/A</t>
  </si>
  <si>
    <t>Knee pocket marking</t>
  </si>
  <si>
    <t>Knee pocket folding</t>
  </si>
  <si>
    <t>Knee pocket topstitch</t>
  </si>
  <si>
    <t>Knee pocket tacking</t>
  </si>
  <si>
    <t>Knee pocket overlocks</t>
  </si>
  <si>
    <t>3 thread O/L</t>
  </si>
  <si>
    <t>Knee pocket hemming</t>
  </si>
  <si>
    <t>Knee pocket ironing</t>
  </si>
  <si>
    <t>Iron press</t>
  </si>
  <si>
    <t>Knee pocket attaches</t>
  </si>
  <si>
    <t>Knee flap folding</t>
  </si>
  <si>
    <t>Buttonhole on k. flap</t>
  </si>
  <si>
    <t>Knee flap runstitch</t>
  </si>
  <si>
    <t>Knee flap turning</t>
  </si>
  <si>
    <t>Knee flap topstitches</t>
  </si>
  <si>
    <t>Knee flap attaches</t>
  </si>
  <si>
    <t>Bar tacking</t>
  </si>
  <si>
    <t>BT</t>
  </si>
  <si>
    <t>Back rise overlocks</t>
  </si>
  <si>
    <t>Back rise topstitches</t>
  </si>
  <si>
    <t>DN/L</t>
  </si>
  <si>
    <t>Big loop matching</t>
  </si>
  <si>
    <t>Big loop runstitch</t>
  </si>
  <si>
    <t>Big loop turning</t>
  </si>
  <si>
    <t>Big loop topstitches</t>
  </si>
  <si>
    <t>Big loop button hole</t>
  </si>
  <si>
    <t>Small loop runstitch</t>
  </si>
  <si>
    <t>LM</t>
  </si>
  <si>
    <t>Small, big loop, and waist band attach</t>
  </si>
  <si>
    <t>Waist band topstitch</t>
  </si>
  <si>
    <t>Waist band closing</t>
  </si>
  <si>
    <t>Small loop tacking</t>
  </si>
  <si>
    <t>Inseam overlock</t>
  </si>
  <si>
    <t>Trouser turning</t>
  </si>
  <si>
    <t>inseam topstitch</t>
  </si>
  <si>
    <t>Adjustable prep</t>
  </si>
  <si>
    <t>1st adjustable attach</t>
  </si>
  <si>
    <t>Button hole on bottom</t>
  </si>
  <si>
    <t>Adjustable hemming</t>
  </si>
  <si>
    <t>second adjustable attach</t>
  </si>
  <si>
    <t>Bottom rope attach</t>
  </si>
  <si>
    <t>Bottom hemming</t>
  </si>
  <si>
    <t>Final bar tacking</t>
  </si>
  <si>
    <t>3,5</t>
  </si>
  <si>
    <t>6,8</t>
  </si>
  <si>
    <t>13,14</t>
  </si>
  <si>
    <t>16,21</t>
  </si>
  <si>
    <t>12,25</t>
  </si>
  <si>
    <t>28,34</t>
  </si>
  <si>
    <t>35,40</t>
  </si>
  <si>
    <t>44,49,50</t>
  </si>
  <si>
    <t>57,58</t>
  </si>
  <si>
    <t>60,61</t>
  </si>
  <si>
    <t>Task Number</t>
  </si>
  <si>
    <t>Task Description</t>
  </si>
  <si>
    <t>ST (Minutes)</t>
  </si>
  <si>
    <t>Front marking</t>
  </si>
  <si>
    <t>6,7,8,9,10</t>
  </si>
  <si>
    <t>11,4</t>
  </si>
  <si>
    <t>Particulars</t>
  </si>
  <si>
    <t>Production  Time Per Day (Minutes)</t>
  </si>
  <si>
    <t>Bottleneck Process Time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</si>
  <si>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</si>
  <si>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</si>
  <si>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</si>
  <si>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</si>
  <si>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</si>
  <si>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</si>
  <si>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Maximum Production Rate Per Day</t>
  </si>
  <si>
    <t>Cycle Time (Max of Takt Time Vs Bottleneck)</t>
  </si>
  <si>
    <t>Max Number of Workstations</t>
  </si>
  <si>
    <t>Min Number of Workstations</t>
  </si>
  <si>
    <t>Input</t>
  </si>
  <si>
    <t>Name</t>
  </si>
  <si>
    <t>Hex</t>
  </si>
  <si>
    <t>Red</t>
  </si>
  <si>
    <t>Green</t>
  </si>
  <si>
    <t>Blue</t>
  </si>
  <si>
    <t>Hue</t>
  </si>
  <si>
    <t>Satur.</t>
  </si>
  <si>
    <t>Light</t>
  </si>
  <si>
    <t>Value</t>
  </si>
  <si>
    <t>Absolute Zero</t>
  </si>
  <si>
    <t>#0048BA</t>
  </si>
  <si>
    <t>217°</t>
  </si>
  <si>
    <t>Acid green</t>
  </si>
  <si>
    <t>#B0BF1A</t>
  </si>
  <si>
    <t>65°</t>
  </si>
  <si>
    <t>Aero</t>
  </si>
  <si>
    <t>#7CB9E8</t>
  </si>
  <si>
    <t>206°</t>
  </si>
  <si>
    <t>Aero blue</t>
  </si>
  <si>
    <t>#C0E8D5</t>
  </si>
  <si>
    <t>151.5°</t>
  </si>
  <si>
    <t>African violet</t>
  </si>
  <si>
    <t>#B284BE</t>
  </si>
  <si>
    <t>288°</t>
  </si>
  <si>
    <t>Air superiority blue</t>
  </si>
  <si>
    <t>#72A0C1</t>
  </si>
  <si>
    <t>205°</t>
  </si>
  <si>
    <t>Alabaster</t>
  </si>
  <si>
    <t>#EDEAE0</t>
  </si>
  <si>
    <t>50°</t>
  </si>
  <si>
    <t>Alice blue</t>
  </si>
  <si>
    <t>#F0F8FF</t>
  </si>
  <si>
    <t>208°</t>
  </si>
  <si>
    <t>Alloy orange</t>
  </si>
  <si>
    <t>#C46210</t>
  </si>
  <si>
    <t>27°</t>
  </si>
  <si>
    <t>Almond</t>
  </si>
  <si>
    <t>#EFDECD</t>
  </si>
  <si>
    <t>30°</t>
  </si>
  <si>
    <t>Amaranth</t>
  </si>
  <si>
    <t>#E52B50</t>
  </si>
  <si>
    <t>348°</t>
  </si>
  <si>
    <t>Amaranth (M&amp;P)</t>
  </si>
  <si>
    <t>#9F2B68</t>
  </si>
  <si>
    <t>328°</t>
  </si>
  <si>
    <t>Amaranth pink</t>
  </si>
  <si>
    <t>#F19CBB</t>
  </si>
  <si>
    <t>338°</t>
  </si>
  <si>
    <t>Amaranth purple</t>
  </si>
  <si>
    <t>#AB274F</t>
  </si>
  <si>
    <t>342°</t>
  </si>
  <si>
    <t>Amaranth red</t>
  </si>
  <si>
    <t>#D3212D</t>
  </si>
  <si>
    <t>356°</t>
  </si>
  <si>
    <t>Amazon</t>
  </si>
  <si>
    <t>#3B7A57</t>
  </si>
  <si>
    <t>147°</t>
  </si>
  <si>
    <t>Amber</t>
  </si>
  <si>
    <t>#FFBF00</t>
  </si>
  <si>
    <t>45°</t>
  </si>
  <si>
    <t>Amber (SAE/ECE)</t>
  </si>
  <si>
    <t>#FF7E00</t>
  </si>
  <si>
    <t>Amethyst</t>
  </si>
  <si>
    <t>#9966CC</t>
  </si>
  <si>
    <t>270°</t>
  </si>
  <si>
    <t>Android green</t>
  </si>
  <si>
    <t>#A4C639</t>
  </si>
  <si>
    <t>74°</t>
  </si>
  <si>
    <t>Antique brass</t>
  </si>
  <si>
    <t>#CD9575</t>
  </si>
  <si>
    <t>22°</t>
  </si>
  <si>
    <t>Antique bronze</t>
  </si>
  <si>
    <t>#665D1E</t>
  </si>
  <si>
    <t>53°</t>
  </si>
  <si>
    <t>Antique fuchsia</t>
  </si>
  <si>
    <t>#915C83</t>
  </si>
  <si>
    <t>316°</t>
  </si>
  <si>
    <t>Antique ruby</t>
  </si>
  <si>
    <t>#841B2D</t>
  </si>
  <si>
    <t>350°</t>
  </si>
  <si>
    <t>Antique white</t>
  </si>
  <si>
    <t>#FAEBD7</t>
  </si>
  <si>
    <t>34°</t>
  </si>
  <si>
    <t>Ao (English)</t>
  </si>
  <si>
    <t>#008000</t>
  </si>
  <si>
    <t>120°</t>
  </si>
  <si>
    <t>Apple green</t>
  </si>
  <si>
    <t>#8DB600</t>
  </si>
  <si>
    <t>Apricot</t>
  </si>
  <si>
    <t>#FBCEB1</t>
  </si>
  <si>
    <t>24°</t>
  </si>
  <si>
    <t>Aqua</t>
  </si>
  <si>
    <t>#00FFFF</t>
  </si>
  <si>
    <t>180°</t>
  </si>
  <si>
    <t>Aquamarine</t>
  </si>
  <si>
    <t>#7FFFD4</t>
  </si>
  <si>
    <t>160°</t>
  </si>
  <si>
    <t>Arctic lime</t>
  </si>
  <si>
    <t>#D0FF14</t>
  </si>
  <si>
    <t>72°</t>
  </si>
  <si>
    <t>Army green</t>
  </si>
  <si>
    <t>#4B5320</t>
  </si>
  <si>
    <t>69°</t>
  </si>
  <si>
    <t>Artichoke</t>
  </si>
  <si>
    <t>#8F9779</t>
  </si>
  <si>
    <t>76°</t>
  </si>
  <si>
    <t>Arylide yellow</t>
  </si>
  <si>
    <t>#E9D66B</t>
  </si>
  <si>
    <t>51°</t>
  </si>
  <si>
    <t>Ash gray</t>
  </si>
  <si>
    <t>#B2BEB5</t>
  </si>
  <si>
    <t>135°</t>
  </si>
  <si>
    <t>Asparagus</t>
  </si>
  <si>
    <t>#87A96B</t>
  </si>
  <si>
    <t>93°</t>
  </si>
  <si>
    <t>Atomic tangerine</t>
  </si>
  <si>
    <t>#FF9966</t>
  </si>
  <si>
    <t>20°</t>
  </si>
  <si>
    <t>Auburn</t>
  </si>
  <si>
    <t>#A52A2A</t>
  </si>
  <si>
    <t>0°</t>
  </si>
  <si>
    <t>Aureolin</t>
  </si>
  <si>
    <t>#FDEE00</t>
  </si>
  <si>
    <t>56°</t>
  </si>
  <si>
    <t>Avocado</t>
  </si>
  <si>
    <t>#568203</t>
  </si>
  <si>
    <t>81°</t>
  </si>
  <si>
    <t>Azure</t>
  </si>
  <si>
    <t>#007FFF</t>
  </si>
  <si>
    <t>210°</t>
  </si>
  <si>
    <t>Azure (X11/web color)</t>
  </si>
  <si>
    <t>#F0FFFF</t>
  </si>
  <si>
    <t>Baby blue</t>
  </si>
  <si>
    <t>#89CFF0</t>
  </si>
  <si>
    <t>199°</t>
  </si>
  <si>
    <t>Baby blue eyes</t>
  </si>
  <si>
    <t>#A1CAF1</t>
  </si>
  <si>
    <t>209°</t>
  </si>
  <si>
    <t>Baby pink</t>
  </si>
  <si>
    <t>#F4C2C2</t>
  </si>
  <si>
    <t>Baby powder</t>
  </si>
  <si>
    <t>#FEFEFA</t>
  </si>
  <si>
    <t>60°</t>
  </si>
  <si>
    <t>Baker-Miller pink</t>
  </si>
  <si>
    <t>#FF91AF</t>
  </si>
  <si>
    <t>344°</t>
  </si>
  <si>
    <t>Banana Mania</t>
  </si>
  <si>
    <t>#FAE7B5</t>
  </si>
  <si>
    <t>43°</t>
  </si>
  <si>
    <t>Barbie Pink</t>
  </si>
  <si>
    <t>#DA1884</t>
  </si>
  <si>
    <t>327°</t>
  </si>
  <si>
    <t>Barn red</t>
  </si>
  <si>
    <t>#7C0A02</t>
  </si>
  <si>
    <t>4°</t>
  </si>
  <si>
    <t>Battleship grey</t>
  </si>
  <si>
    <t>#848482</t>
  </si>
  <si>
    <t>Beau blue</t>
  </si>
  <si>
    <t>#BCD4E6</t>
  </si>
  <si>
    <t>Beaver</t>
  </si>
  <si>
    <t>#9F8170</t>
  </si>
  <si>
    <t>Beige</t>
  </si>
  <si>
    <t>#F5F5DC</t>
  </si>
  <si>
    <t>B'dazzled blue</t>
  </si>
  <si>
    <t>#2E5894</t>
  </si>
  <si>
    <t>215°</t>
  </si>
  <si>
    <t>Big dip o’ruby</t>
  </si>
  <si>
    <t>#9C2542</t>
  </si>
  <si>
    <t>345°</t>
  </si>
  <si>
    <t>Bisque</t>
  </si>
  <si>
    <t>#FFE4C4</t>
  </si>
  <si>
    <t>33°</t>
  </si>
  <si>
    <t>Bistre</t>
  </si>
  <si>
    <t>#3D2B1F</t>
  </si>
  <si>
    <t>Bistre brown</t>
  </si>
  <si>
    <t>#967117</t>
  </si>
  <si>
    <t>Bitter lemon</t>
  </si>
  <si>
    <t>#CAE00D</t>
  </si>
  <si>
    <t>66°</t>
  </si>
  <si>
    <t>Bitter lime</t>
  </si>
  <si>
    <t>#BFFF00</t>
  </si>
  <si>
    <t>75°</t>
  </si>
  <si>
    <t>Bittersweet</t>
  </si>
  <si>
    <t>#FE6F5E</t>
  </si>
  <si>
    <t>6°</t>
  </si>
  <si>
    <t>Bittersweet shimmer</t>
  </si>
  <si>
    <t>#BF4F51</t>
  </si>
  <si>
    <t>359°</t>
  </si>
  <si>
    <t>Black</t>
  </si>
  <si>
    <t>#000000</t>
  </si>
  <si>
    <t>—°</t>
  </si>
  <si>
    <t>Black bean</t>
  </si>
  <si>
    <t>#3D0C02</t>
  </si>
  <si>
    <t>10°</t>
  </si>
  <si>
    <t>Black chocolate</t>
  </si>
  <si>
    <t>#1B1811</t>
  </si>
  <si>
    <t>42°</t>
  </si>
  <si>
    <t>Black coffee</t>
  </si>
  <si>
    <t>#3B2F2F</t>
  </si>
  <si>
    <t>Black coral</t>
  </si>
  <si>
    <t>#54626F</t>
  </si>
  <si>
    <t>Black olive</t>
  </si>
  <si>
    <t>#3B3C36</t>
  </si>
  <si>
    <t>70°</t>
  </si>
  <si>
    <t>Black Shadows</t>
  </si>
  <si>
    <t>#BFAFB2</t>
  </si>
  <si>
    <t>349°</t>
  </si>
  <si>
    <t>Blanched almond</t>
  </si>
  <si>
    <t>#FFEBCD</t>
  </si>
  <si>
    <t>36°</t>
  </si>
  <si>
    <t>Blast-off bronze</t>
  </si>
  <si>
    <t>#A57164</t>
  </si>
  <si>
    <t>12°</t>
  </si>
  <si>
    <t>Bleu de France</t>
  </si>
  <si>
    <t>#318CE7</t>
  </si>
  <si>
    <t>Blizzard blue</t>
  </si>
  <si>
    <t>#ACE5EE</t>
  </si>
  <si>
    <t>188°</t>
  </si>
  <si>
    <t>Blond</t>
  </si>
  <si>
    <t>#FAF0BE</t>
  </si>
  <si>
    <t>Blood red</t>
  </si>
  <si>
    <t>#660000</t>
  </si>
  <si>
    <t>#0000FF</t>
  </si>
  <si>
    <t>240°</t>
  </si>
  <si>
    <t>Blue (Crayola)</t>
  </si>
  <si>
    <t>#1F75FE</t>
  </si>
  <si>
    <t>Blue (Munsell)</t>
  </si>
  <si>
    <t>#0093AF</t>
  </si>
  <si>
    <t>190°</t>
  </si>
  <si>
    <t>Blue (NCS)</t>
  </si>
  <si>
    <t>#0087BD</t>
  </si>
  <si>
    <t>197°</t>
  </si>
  <si>
    <t>Blue (Pantone)</t>
  </si>
  <si>
    <t>#0018A8</t>
  </si>
  <si>
    <t>231°</t>
  </si>
  <si>
    <t>Blue (pigment)</t>
  </si>
  <si>
    <t>#333399</t>
  </si>
  <si>
    <t>Blue (RYB)</t>
  </si>
  <si>
    <t>#0247FE</t>
  </si>
  <si>
    <t>224°</t>
  </si>
  <si>
    <t>Blue bell</t>
  </si>
  <si>
    <t>#A2A2D0</t>
  </si>
  <si>
    <t>Blue-gray</t>
  </si>
  <si>
    <t>#6699CC</t>
  </si>
  <si>
    <t>Blue-green</t>
  </si>
  <si>
    <t>#0D98BA</t>
  </si>
  <si>
    <t>192°</t>
  </si>
  <si>
    <t>Blue-green (color wheel)</t>
  </si>
  <si>
    <t>#064E40</t>
  </si>
  <si>
    <t>168°</t>
  </si>
  <si>
    <t>Blue jeans</t>
  </si>
  <si>
    <t>#5DADEC</t>
  </si>
  <si>
    <t>Blue sapphire</t>
  </si>
  <si>
    <t>#126180</t>
  </si>
  <si>
    <t>Blue-violet</t>
  </si>
  <si>
    <t>#8A2BE2</t>
  </si>
  <si>
    <t>271°</t>
  </si>
  <si>
    <t>Blue-violet (Crayola)</t>
  </si>
  <si>
    <t>#7366BD</t>
  </si>
  <si>
    <t>249°</t>
  </si>
  <si>
    <t>Blue-violet (color wheel)</t>
  </si>
  <si>
    <t>#4D1A7F</t>
  </si>
  <si>
    <t>Blue yonder</t>
  </si>
  <si>
    <t>#5072A7</t>
  </si>
  <si>
    <t>Bluetiful</t>
  </si>
  <si>
    <t>#3C69E7</t>
  </si>
  <si>
    <t>Blush</t>
  </si>
  <si>
    <t>#DE5D83</t>
  </si>
  <si>
    <t>Bole</t>
  </si>
  <si>
    <t>#79443B</t>
  </si>
  <si>
    <t>9°</t>
  </si>
  <si>
    <t>Bone</t>
  </si>
  <si>
    <t>#E3DAC9</t>
  </si>
  <si>
    <t>39°</t>
  </si>
  <si>
    <t>Bottle green</t>
  </si>
  <si>
    <t>#006A4E</t>
  </si>
  <si>
    <t>164°</t>
  </si>
  <si>
    <t>Brandy</t>
  </si>
  <si>
    <t>#87413F</t>
  </si>
  <si>
    <t>2°</t>
  </si>
  <si>
    <t>Brick red</t>
  </si>
  <si>
    <t>#CB4154</t>
  </si>
  <si>
    <t>352°</t>
  </si>
  <si>
    <t>Bright green</t>
  </si>
  <si>
    <t>#66FF00</t>
  </si>
  <si>
    <t>96°</t>
  </si>
  <si>
    <t>Bright lilac</t>
  </si>
  <si>
    <t>#D891EF</t>
  </si>
  <si>
    <t>285°</t>
  </si>
  <si>
    <t>Bright maroon</t>
  </si>
  <si>
    <t>#C32148</t>
  </si>
  <si>
    <t>346°</t>
  </si>
  <si>
    <t>Bright navy blue</t>
  </si>
  <si>
    <t>#1974D2</t>
  </si>
  <si>
    <t>Bright yellow (Crayola)</t>
  </si>
  <si>
    <t>#FFAA1D</t>
  </si>
  <si>
    <t>37°</t>
  </si>
  <si>
    <t>Brilliant rose</t>
  </si>
  <si>
    <t>#FF55A3</t>
  </si>
  <si>
    <t>332°</t>
  </si>
  <si>
    <t>Brink pink</t>
  </si>
  <si>
    <t>#FB607F</t>
  </si>
  <si>
    <t>British racing green</t>
  </si>
  <si>
    <t>#004225</t>
  </si>
  <si>
    <t>154°</t>
  </si>
  <si>
    <t>Bronze</t>
  </si>
  <si>
    <t>#CD7F32</t>
  </si>
  <si>
    <t>Brown</t>
  </si>
  <si>
    <t>#88540B</t>
  </si>
  <si>
    <t>35°</t>
  </si>
  <si>
    <t>Brown sugar</t>
  </si>
  <si>
    <t>#AF6E4D</t>
  </si>
  <si>
    <t>Brunswick green</t>
  </si>
  <si>
    <t>#1B4D3E</t>
  </si>
  <si>
    <t>162°</t>
  </si>
  <si>
    <t>Bud green</t>
  </si>
  <si>
    <t>#7BB661</t>
  </si>
  <si>
    <t>102°</t>
  </si>
  <si>
    <t>Buff</t>
  </si>
  <si>
    <t>#FFC680</t>
  </si>
  <si>
    <t>Burgundy</t>
  </si>
  <si>
    <t>#800020</t>
  </si>
  <si>
    <t>Burlywood</t>
  </si>
  <si>
    <t>#DEB887</t>
  </si>
  <si>
    <t>Burnished brown</t>
  </si>
  <si>
    <t>#A17A74</t>
  </si>
  <si>
    <t>8°</t>
  </si>
  <si>
    <t>Burnt orange</t>
  </si>
  <si>
    <t>#CC5500</t>
  </si>
  <si>
    <t>25°</t>
  </si>
  <si>
    <t>Burnt sienna</t>
  </si>
  <si>
    <t>#E97451</t>
  </si>
  <si>
    <t>14°</t>
  </si>
  <si>
    <t>Burnt umber</t>
  </si>
  <si>
    <t>#8A3324</t>
  </si>
  <si>
    <t>Byzantine</t>
  </si>
  <si>
    <t>#BD33A4</t>
  </si>
  <si>
    <t>311°</t>
  </si>
  <si>
    <t>Byzantium</t>
  </si>
  <si>
    <t>#702963</t>
  </si>
  <si>
    <t>Cadet</t>
  </si>
  <si>
    <t>#536872</t>
  </si>
  <si>
    <t>Cadet blue</t>
  </si>
  <si>
    <t>#5F9EA0</t>
  </si>
  <si>
    <t>182°</t>
  </si>
  <si>
    <t>Cadet blue (Crayola)</t>
  </si>
  <si>
    <t>#A9B2C3</t>
  </si>
  <si>
    <t>219°</t>
  </si>
  <si>
    <t>Cadet grey</t>
  </si>
  <si>
    <t>#91A3B0</t>
  </si>
  <si>
    <t>Cadmium green</t>
  </si>
  <si>
    <t>#006B3C</t>
  </si>
  <si>
    <t>Cadmium orange</t>
  </si>
  <si>
    <t>#ED872D</t>
  </si>
  <si>
    <t>28°</t>
  </si>
  <si>
    <t>Cadmium red</t>
  </si>
  <si>
    <t>#E30022</t>
  </si>
  <si>
    <t>351°</t>
  </si>
  <si>
    <t>Cadmium yellow</t>
  </si>
  <si>
    <t>#FFF600</t>
  </si>
  <si>
    <t>58°</t>
  </si>
  <si>
    <t>Café au lait</t>
  </si>
  <si>
    <t>#A67B5B</t>
  </si>
  <si>
    <t>26°</t>
  </si>
  <si>
    <t>Café noir</t>
  </si>
  <si>
    <t>#4B3621</t>
  </si>
  <si>
    <t>Cambridge blue</t>
  </si>
  <si>
    <t>#A3C1AD</t>
  </si>
  <si>
    <t>140°</t>
  </si>
  <si>
    <t>Camel</t>
  </si>
  <si>
    <t>#C19A6B</t>
  </si>
  <si>
    <t>Cameo pink</t>
  </si>
  <si>
    <t>#EFBBCC</t>
  </si>
  <si>
    <t>340°</t>
  </si>
  <si>
    <t>Canary</t>
  </si>
  <si>
    <t>#FFFF99</t>
  </si>
  <si>
    <t>Canary yellow</t>
  </si>
  <si>
    <t>#FFEF00</t>
  </si>
  <si>
    <t>Candy apple red</t>
  </si>
  <si>
    <t>#FF0800</t>
  </si>
  <si>
    <t>Candy pink</t>
  </si>
  <si>
    <t>#E4717A</t>
  </si>
  <si>
    <t>355°</t>
  </si>
  <si>
    <t>Capri</t>
  </si>
  <si>
    <t>#00BFFF</t>
  </si>
  <si>
    <t>195°</t>
  </si>
  <si>
    <t>Caput mortuum</t>
  </si>
  <si>
    <t>#592720</t>
  </si>
  <si>
    <t>7°</t>
  </si>
  <si>
    <t>Cardinal</t>
  </si>
  <si>
    <t>#C41E3A</t>
  </si>
  <si>
    <t>Caribbean green</t>
  </si>
  <si>
    <t>#00CC99</t>
  </si>
  <si>
    <t>165°</t>
  </si>
  <si>
    <t>Carmine</t>
  </si>
  <si>
    <t>#960018</t>
  </si>
  <si>
    <t>Carmine (M&amp;P)</t>
  </si>
  <si>
    <t>#D70040</t>
  </si>
  <si>
    <t>Carnation pink</t>
  </si>
  <si>
    <t>#FFA6C9</t>
  </si>
  <si>
    <t>336°</t>
  </si>
  <si>
    <t>Carnelian</t>
  </si>
  <si>
    <t>#B31B1B</t>
  </si>
  <si>
    <t>Carolina blue</t>
  </si>
  <si>
    <t>#56A0D3</t>
  </si>
  <si>
    <t>204°</t>
  </si>
  <si>
    <t>Carrot orange</t>
  </si>
  <si>
    <t>#ED9121</t>
  </si>
  <si>
    <t>Castleton green</t>
  </si>
  <si>
    <t>#00563F</t>
  </si>
  <si>
    <t>Catawba</t>
  </si>
  <si>
    <t>#703642</t>
  </si>
  <si>
    <t>Cedar Chest</t>
  </si>
  <si>
    <t>#C95A49</t>
  </si>
  <si>
    <t>Celadon</t>
  </si>
  <si>
    <t>#ACE1AF</t>
  </si>
  <si>
    <t>123°</t>
  </si>
  <si>
    <t>Celadon blue</t>
  </si>
  <si>
    <t>#007BA7</t>
  </si>
  <si>
    <t>196°</t>
  </si>
  <si>
    <t>Celadon green</t>
  </si>
  <si>
    <t>#2F847C</t>
  </si>
  <si>
    <t>174°</t>
  </si>
  <si>
    <t>Celeste</t>
  </si>
  <si>
    <t>#B2FFFF</t>
  </si>
  <si>
    <t>Celtic blue</t>
  </si>
  <si>
    <t>#246BCE</t>
  </si>
  <si>
    <t>Cerise</t>
  </si>
  <si>
    <t>#DE3163</t>
  </si>
  <si>
    <t>343°</t>
  </si>
  <si>
    <t>Cerulean</t>
  </si>
  <si>
    <t>Cerulean blue</t>
  </si>
  <si>
    <t>#2A52BE</t>
  </si>
  <si>
    <t>Cerulean frost</t>
  </si>
  <si>
    <t>#6D9BC3</t>
  </si>
  <si>
    <t>Cerulean (Crayola)</t>
  </si>
  <si>
    <t>#1DACD6</t>
  </si>
  <si>
    <t>194°</t>
  </si>
  <si>
    <t>CG blue</t>
  </si>
  <si>
    <t>#007AA5</t>
  </si>
  <si>
    <t>CG red</t>
  </si>
  <si>
    <t>#E03C31</t>
  </si>
  <si>
    <t>Champagne</t>
  </si>
  <si>
    <t>#F7E7CE</t>
  </si>
  <si>
    <t>Champagne pink</t>
  </si>
  <si>
    <t>#F1DDCF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</si>
  <si>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</si>
  <si>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</si>
  <si>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</si>
  <si>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</si>
  <si>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</si>
  <si>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</si>
  <si>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</si>
  <si>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</si>
  <si>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68°</t>
  </si>
  <si>
    <t>Chartreuse (web)</t>
  </si>
  <si>
    <t>#7FFF00</t>
  </si>
  <si>
    <t>90°</t>
  </si>
  <si>
    <t>Cherry blossom pink</t>
  </si>
  <si>
    <t>#FFB7C5</t>
  </si>
  <si>
    <t>Chestnut</t>
  </si>
  <si>
    <t>#954535</t>
  </si>
  <si>
    <t>Chili red</t>
  </si>
  <si>
    <t>#E23D28</t>
  </si>
  <si>
    <t>5°</t>
  </si>
  <si>
    <t>China pink</t>
  </si>
  <si>
    <t>#DE6FA1</t>
  </si>
  <si>
    <t>333°</t>
  </si>
  <si>
    <t>China rose</t>
  </si>
  <si>
    <t>#A8516E</t>
  </si>
  <si>
    <t>Chinese red</t>
  </si>
  <si>
    <t>#AA381E</t>
  </si>
  <si>
    <t>11°</t>
  </si>
  <si>
    <t>Chinese violet</t>
  </si>
  <si>
    <t>#856088</t>
  </si>
  <si>
    <t>296°</t>
  </si>
  <si>
    <t>Chinese yellow</t>
  </si>
  <si>
    <t>#FFB200</t>
  </si>
  <si>
    <t>Chocolate (traditional)</t>
  </si>
  <si>
    <t>#7B3F00</t>
  </si>
  <si>
    <t>31°</t>
  </si>
  <si>
    <t>Chocolate (web)</t>
  </si>
  <si>
    <t>#D2691E</t>
  </si>
  <si>
    <t>Chocolate Cosmos</t>
  </si>
  <si>
    <t>#58111A</t>
  </si>
  <si>
    <t>Chrome yellow</t>
  </si>
  <si>
    <t>#FFA700</t>
  </si>
  <si>
    <t>Cinereous</t>
  </si>
  <si>
    <t>#98817B</t>
  </si>
  <si>
    <t>Cinnabar</t>
  </si>
  <si>
    <t>#E34234</t>
  </si>
  <si>
    <t>Cinnamon Satin</t>
  </si>
  <si>
    <t>#CD607E</t>
  </si>
  <si>
    <t>Citrine</t>
  </si>
  <si>
    <t>#E4D00A</t>
  </si>
  <si>
    <t>54°</t>
  </si>
  <si>
    <t>Citron</t>
  </si>
  <si>
    <t>#9FA91F</t>
  </si>
  <si>
    <t>64°</t>
  </si>
  <si>
    <t>Claret</t>
  </si>
  <si>
    <t>#7F1734</t>
  </si>
  <si>
    <t>Cobalt blue</t>
  </si>
  <si>
    <t>#0047AB</t>
  </si>
  <si>
    <t>Cocoa brown</t>
  </si>
  <si>
    <t>Coffee</t>
  </si>
  <si>
    <t>#6F4E37</t>
  </si>
  <si>
    <t>Columbia Blue</t>
  </si>
  <si>
    <t>#B9D9EB</t>
  </si>
  <si>
    <t>202°</t>
  </si>
  <si>
    <t>Congo pink</t>
  </si>
  <si>
    <t>#F88379</t>
  </si>
  <si>
    <t>Cool grey</t>
  </si>
  <si>
    <t>#8C92AC</t>
  </si>
  <si>
    <t>229°</t>
  </si>
  <si>
    <t>Copper</t>
  </si>
  <si>
    <t>#B87333</t>
  </si>
  <si>
    <t>29°</t>
  </si>
  <si>
    <t>Copper (Crayola)</t>
  </si>
  <si>
    <t>#DA8A67</t>
  </si>
  <si>
    <t>18°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</si>
  <si>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</si>
  <si>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</si>
  <si>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</si>
  <si>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</si>
  <si>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</si>
  <si>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</si>
  <si>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</si>
  <si>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</si>
  <si>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13°</t>
  </si>
  <si>
    <t>Coral</t>
  </si>
  <si>
    <t>#FF7F50</t>
  </si>
  <si>
    <t>16°</t>
  </si>
  <si>
    <t>Coral pink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</si>
  <si>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</si>
  <si>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</si>
  <si>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</si>
  <si>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</si>
  <si>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</si>
  <si>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</si>
  <si>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</si>
  <si>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</si>
  <si>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</si>
  <si>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48°</t>
  </si>
  <si>
    <t>Cosmic cobalt</t>
  </si>
  <si>
    <t>#2E2D88</t>
  </si>
  <si>
    <t>241°</t>
  </si>
  <si>
    <t>Cosmic latte</t>
  </si>
  <si>
    <t>#FFF8E7</t>
  </si>
  <si>
    <t>Coyote brown</t>
  </si>
  <si>
    <t>#81613C</t>
  </si>
  <si>
    <t>32°</t>
  </si>
  <si>
    <t>Cotton candy</t>
  </si>
  <si>
    <t>#FFBCD9</t>
  </si>
  <si>
    <t>334°</t>
  </si>
  <si>
    <t>Cream</t>
  </si>
  <si>
    <t>#FFFDD0</t>
  </si>
  <si>
    <t>57°</t>
  </si>
  <si>
    <t>Crimson</t>
  </si>
  <si>
    <t>#DC143C</t>
  </si>
  <si>
    <t>Crimson (UA)</t>
  </si>
  <si>
    <t>#9E1B32</t>
  </si>
  <si>
    <t>Crystal</t>
  </si>
  <si>
    <t>#A7D8DE</t>
  </si>
  <si>
    <t>187°</t>
  </si>
  <si>
    <t>Cultured</t>
  </si>
  <si>
    <t>#F5F5F5</t>
  </si>
  <si>
    <t>Cyan</t>
  </si>
  <si>
    <t>Cyan (process)</t>
  </si>
  <si>
    <t>#00B7EB</t>
  </si>
  <si>
    <t>193°</t>
  </si>
  <si>
    <t>Cyber grape</t>
  </si>
  <si>
    <t>#58427C</t>
  </si>
  <si>
    <t>263°</t>
  </si>
  <si>
    <t>Cyber yellow</t>
  </si>
  <si>
    <t>#FFD300</t>
  </si>
  <si>
    <t>Cyclamen</t>
  </si>
  <si>
    <t>#F56FA1</t>
  </si>
  <si>
    <t>Dark blue-gray</t>
  </si>
  <si>
    <t>#666699</t>
  </si>
  <si>
    <t>Dark brown</t>
  </si>
  <si>
    <t>#654321</t>
  </si>
  <si>
    <t>Dark byzantium</t>
  </si>
  <si>
    <t>#5D3954</t>
  </si>
  <si>
    <t>315°</t>
  </si>
  <si>
    <t>Dark cornflower blue</t>
  </si>
  <si>
    <t>#26428B</t>
  </si>
  <si>
    <t>223°</t>
  </si>
  <si>
    <t>Dark cyan</t>
  </si>
  <si>
    <t>#008B8B</t>
  </si>
  <si>
    <t>Dark electric blue</t>
  </si>
  <si>
    <t>#536878</t>
  </si>
  <si>
    <t>Dark goldenrod</t>
  </si>
  <si>
    <t>#B8860B</t>
  </si>
  <si>
    <t>Dark green</t>
  </si>
  <si>
    <t>#013220</t>
  </si>
  <si>
    <t>158°</t>
  </si>
  <si>
    <t>Dark green (X11)</t>
  </si>
  <si>
    <t>#006400</t>
  </si>
  <si>
    <t>Dark jungle green</t>
  </si>
  <si>
    <t>#1A2421</t>
  </si>
  <si>
    <t>Dark khaki</t>
  </si>
  <si>
    <t>#BDB76B</t>
  </si>
  <si>
    <t>Dark lava</t>
  </si>
  <si>
    <t>#483C32</t>
  </si>
  <si>
    <t>Dark liver</t>
  </si>
  <si>
    <t>#534B4F</t>
  </si>
  <si>
    <t>330°</t>
  </si>
  <si>
    <t>Dark liver (horses)</t>
  </si>
  <si>
    <t>#543D37</t>
  </si>
  <si>
    <t>Dark magenta</t>
  </si>
  <si>
    <t>#8B008B</t>
  </si>
  <si>
    <t>300°</t>
  </si>
  <si>
    <t>Dark moss green</t>
  </si>
  <si>
    <t>#4A5D23</t>
  </si>
  <si>
    <t>80°</t>
  </si>
  <si>
    <t>Dark olive green</t>
  </si>
  <si>
    <t>#556B2F</t>
  </si>
  <si>
    <t>82°</t>
  </si>
  <si>
    <t>Dark orange</t>
  </si>
  <si>
    <t>#FF8C00</t>
  </si>
  <si>
    <t>Dark orchid</t>
  </si>
  <si>
    <t>#9932CC</t>
  </si>
  <si>
    <t>280°</t>
  </si>
  <si>
    <t>Dark pastel green</t>
  </si>
  <si>
    <t>#03C03C</t>
  </si>
  <si>
    <t>138°</t>
  </si>
  <si>
    <t>Dark purple</t>
  </si>
  <si>
    <t>#301934</t>
  </si>
  <si>
    <t>291°</t>
  </si>
  <si>
    <t>Dark red</t>
  </si>
  <si>
    <t>#8B0000</t>
  </si>
  <si>
    <t>Dark salmon</t>
  </si>
  <si>
    <t>#E9967A</t>
  </si>
  <si>
    <t>15°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</si>
  <si>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</si>
  <si>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</si>
  <si>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</si>
  <si>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</si>
  <si>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</si>
  <si>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</si>
  <si>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</si>
  <si>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</si>
  <si>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248°</t>
  </si>
  <si>
    <t>Dark slate gray</t>
  </si>
  <si>
    <t>#2F4F4F</t>
  </si>
  <si>
    <t>Dark spring green</t>
  </si>
  <si>
    <t>#177245</t>
  </si>
  <si>
    <t>150°</t>
  </si>
  <si>
    <t>Dark turquoise</t>
  </si>
  <si>
    <t>#00CED1</t>
  </si>
  <si>
    <t>181°</t>
  </si>
  <si>
    <t>Dark violet</t>
  </si>
  <si>
    <t>#9400D3</t>
  </si>
  <si>
    <t>282°</t>
  </si>
  <si>
    <t>Dartmouth green</t>
  </si>
  <si>
    <t>#00703C</t>
  </si>
  <si>
    <t>152°</t>
  </si>
  <si>
    <t>Davy's grey</t>
  </si>
  <si>
    <t>#555555</t>
  </si>
  <si>
    <t>Deep cerise</t>
  </si>
  <si>
    <t>#DA3287</t>
  </si>
  <si>
    <t>Deep champagne</t>
  </si>
  <si>
    <t>#FAD6A5</t>
  </si>
  <si>
    <t>Deep chestnut</t>
  </si>
  <si>
    <t>#B94E48</t>
  </si>
  <si>
    <t>3°</t>
  </si>
  <si>
    <t>Deep jungle green</t>
  </si>
  <si>
    <t>#004B49</t>
  </si>
  <si>
    <t>178°</t>
  </si>
  <si>
    <t>Deep pink</t>
  </si>
  <si>
    <t>#FF1493</t>
  </si>
  <si>
    <t>Deep saffron</t>
  </si>
  <si>
    <t>#FF9933</t>
  </si>
  <si>
    <t>Deep sky blue</t>
  </si>
  <si>
    <t>Deep Space Sparkle</t>
  </si>
  <si>
    <t>#4A646C</t>
  </si>
  <si>
    <t>Deep taupe</t>
  </si>
  <si>
    <t>#7E5E60</t>
  </si>
  <si>
    <t>Denim</t>
  </si>
  <si>
    <t>#1560BD</t>
  </si>
  <si>
    <t>213°</t>
  </si>
  <si>
    <t>Denim blue</t>
  </si>
  <si>
    <t>#2243B6</t>
  </si>
  <si>
    <t>227°</t>
  </si>
  <si>
    <t>Desert</t>
  </si>
  <si>
    <t>Desert sand</t>
  </si>
  <si>
    <t>#EDC9AF</t>
  </si>
  <si>
    <t>Dim gray</t>
  </si>
  <si>
    <t>#696969</t>
  </si>
  <si>
    <t>Dodger blue</t>
  </si>
  <si>
    <t>#1E90FF</t>
  </si>
  <si>
    <t>Dogwood rose</t>
  </si>
  <si>
    <t>#D71868</t>
  </si>
  <si>
    <t>335°</t>
  </si>
  <si>
    <t>Drab</t>
  </si>
  <si>
    <t>Duke blue</t>
  </si>
  <si>
    <t>#00009C</t>
  </si>
  <si>
    <t>Dutch white</t>
  </si>
  <si>
    <t>#EFDFBB</t>
  </si>
  <si>
    <t>Earth yellow</t>
  </si>
  <si>
    <t>#E1A95F</t>
  </si>
  <si>
    <t>Ebony</t>
  </si>
  <si>
    <t>#555D50</t>
  </si>
  <si>
    <t>97°</t>
  </si>
  <si>
    <t>Ecru</t>
  </si>
  <si>
    <t>#C2B280</t>
  </si>
  <si>
    <t>Eerie black</t>
  </si>
  <si>
    <t>#1B1B1B</t>
  </si>
  <si>
    <t>Eggplant</t>
  </si>
  <si>
    <t>#614051</t>
  </si>
  <si>
    <t>329°</t>
  </si>
  <si>
    <t>Eggshell</t>
  </si>
  <si>
    <t>#F0EAD6</t>
  </si>
  <si>
    <t>46°</t>
  </si>
  <si>
    <t>Egyptian blue</t>
  </si>
  <si>
    <t>#1034A6</t>
  </si>
  <si>
    <t>226°</t>
  </si>
  <si>
    <t>Eigengrau</t>
  </si>
  <si>
    <t>#16161D</t>
  </si>
  <si>
    <t>Electric blue</t>
  </si>
  <si>
    <t>#7DF9FF</t>
  </si>
  <si>
    <t>183°</t>
  </si>
  <si>
    <t>Electric green</t>
  </si>
  <si>
    <t>#00FF00</t>
  </si>
  <si>
    <t>Electric indigo</t>
  </si>
  <si>
    <t>#6F00FF</t>
  </si>
  <si>
    <t>266°</t>
  </si>
  <si>
    <t>Electric lime</t>
  </si>
  <si>
    <t>#CCFF00</t>
  </si>
  <si>
    <t>Electric purple</t>
  </si>
  <si>
    <t>#BF00FF</t>
  </si>
  <si>
    <t>Electric violet</t>
  </si>
  <si>
    <t>#8F00FF</t>
  </si>
  <si>
    <t>274°</t>
  </si>
  <si>
    <t>Emerald</t>
  </si>
  <si>
    <t>#50C878</t>
  </si>
  <si>
    <t>Eminence</t>
  </si>
  <si>
    <t>#6C3082</t>
  </si>
  <si>
    <t>284°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</si>
  <si>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</si>
  <si>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</si>
  <si>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</si>
  <si>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</si>
  <si>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</si>
  <si>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</si>
  <si>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</si>
  <si>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358°</t>
  </si>
  <si>
    <t>English violet</t>
  </si>
  <si>
    <t>#563C5C</t>
  </si>
  <si>
    <t>289°</t>
  </si>
  <si>
    <t>Erin</t>
  </si>
  <si>
    <t>#00FF40</t>
  </si>
  <si>
    <t>Eton blue</t>
  </si>
  <si>
    <t>#96C8A2</t>
  </si>
  <si>
    <t>134°</t>
  </si>
  <si>
    <t>Fallow</t>
  </si>
  <si>
    <t>Falu red</t>
  </si>
  <si>
    <t>#801818</t>
  </si>
  <si>
    <t>Fandango</t>
  </si>
  <si>
    <t>#B53389</t>
  </si>
  <si>
    <t>320°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</si>
  <si>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</si>
  <si>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</si>
  <si>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</si>
  <si>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</si>
  <si>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</si>
  <si>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</si>
  <si>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</si>
  <si>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</si>
  <si>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143°</t>
  </si>
  <si>
    <t>Fern green</t>
  </si>
  <si>
    <t>#4F7942</t>
  </si>
  <si>
    <t>106°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</si>
  <si>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</si>
  <si>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</si>
  <si>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</si>
  <si>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</si>
  <si>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</si>
  <si>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</si>
  <si>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</si>
  <si>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</si>
  <si>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357°</t>
  </si>
  <si>
    <t>Fire opal</t>
  </si>
  <si>
    <t>#E95C4B</t>
  </si>
  <si>
    <t>Flame</t>
  </si>
  <si>
    <t>#E25822</t>
  </si>
  <si>
    <t>17°</t>
  </si>
  <si>
    <t>Flax</t>
  </si>
  <si>
    <t>#EEDC82</t>
  </si>
  <si>
    <t>Flirt</t>
  </si>
  <si>
    <t>#A2006D</t>
  </si>
  <si>
    <t>Floral white</t>
  </si>
  <si>
    <t>#FFFAF0</t>
  </si>
  <si>
    <t>40°</t>
  </si>
  <si>
    <t>Fluorescent blue</t>
  </si>
  <si>
    <t>#15F4EE</t>
  </si>
  <si>
    <t>Forest green (Crayola)</t>
  </si>
  <si>
    <t>#5FA777</t>
  </si>
  <si>
    <t>Forest green (traditional)</t>
  </si>
  <si>
    <t>#014421</t>
  </si>
  <si>
    <t>149°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</si>
  <si>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</si>
  <si>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</si>
  <si>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</si>
  <si>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</si>
  <si>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</si>
  <si>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</si>
  <si>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</si>
  <si>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203°</t>
  </si>
  <si>
    <t>French fuchsia</t>
  </si>
  <si>
    <t>#FD3F92</t>
  </si>
  <si>
    <t>French lilac</t>
  </si>
  <si>
    <t>#86608E</t>
  </si>
  <si>
    <t>290°</t>
  </si>
  <si>
    <t>French lime</t>
  </si>
  <si>
    <t>#9EFD38</t>
  </si>
  <si>
    <t>89°</t>
  </si>
  <si>
    <t>French mauve</t>
  </si>
  <si>
    <t>#D473D4</t>
  </si>
  <si>
    <t>French pink</t>
  </si>
  <si>
    <t>#FD6C9E</t>
  </si>
  <si>
    <t>339°</t>
  </si>
  <si>
    <t>French raspberry</t>
  </si>
  <si>
    <t>#C72C48</t>
  </si>
  <si>
    <t>French rose</t>
  </si>
  <si>
    <t>#F64A8A</t>
  </si>
  <si>
    <t>French sky blue</t>
  </si>
  <si>
    <t>#77B5FE</t>
  </si>
  <si>
    <t>212°</t>
  </si>
  <si>
    <t>French violet</t>
  </si>
  <si>
    <t>#8806CE</t>
  </si>
  <si>
    <t>279°</t>
  </si>
  <si>
    <t>Frostbite</t>
  </si>
  <si>
    <t>#E936A7</t>
  </si>
  <si>
    <t>322°</t>
  </si>
  <si>
    <t>Fuchsia</t>
  </si>
  <si>
    <t>#FF00FF</t>
  </si>
  <si>
    <t>Fuchsia (Crayola)</t>
  </si>
  <si>
    <t>#C154C1</t>
  </si>
  <si>
    <t>Fuchsia purple</t>
  </si>
  <si>
    <t>#CC397B</t>
  </si>
  <si>
    <t>Fuchsia rose</t>
  </si>
  <si>
    <t>#C74375</t>
  </si>
  <si>
    <t>337°</t>
  </si>
  <si>
    <t>Fulvous</t>
  </si>
  <si>
    <t>#E48400</t>
  </si>
  <si>
    <t>Fuzzy Wuzzy</t>
  </si>
  <si>
    <t>#87421F</t>
  </si>
  <si>
    <t>Number</t>
  </si>
  <si>
    <t>Style Name</t>
  </si>
  <si>
    <t>Customer Name</t>
  </si>
  <si>
    <t>PRODUCTION PLAN AND DETAILS</t>
  </si>
  <si>
    <t>SEWING LINE DETAILS</t>
  </si>
  <si>
    <t>SIMULATION RESULTS FOR THE CHOSEN SCENARIO</t>
  </si>
  <si>
    <t>Output</t>
  </si>
  <si>
    <t>SEWING LINE WORKSTATION ALLOCATION BASED ON DESIRED CYCLE TIME</t>
  </si>
  <si>
    <t>Next Task</t>
  </si>
  <si>
    <t>Workstation</t>
  </si>
  <si>
    <t>1</t>
  </si>
  <si>
    <t>3</t>
  </si>
  <si>
    <t>2</t>
  </si>
  <si>
    <t>4</t>
  </si>
  <si>
    <t>5</t>
  </si>
  <si>
    <t>6</t>
  </si>
  <si>
    <t>7</t>
  </si>
  <si>
    <t>9</t>
  </si>
  <si>
    <t>8</t>
  </si>
  <si>
    <t>10</t>
  </si>
  <si>
    <t>11</t>
  </si>
  <si>
    <t>12</t>
  </si>
  <si>
    <t>13</t>
  </si>
  <si>
    <t>14</t>
  </si>
  <si>
    <t>15</t>
  </si>
  <si>
    <t>END</t>
  </si>
  <si>
    <t>WORKSTATION ALLOCATION OF SEWING LINE PROCESS</t>
  </si>
  <si>
    <t>Trouser - Style 002</t>
  </si>
  <si>
    <t>NYTL</t>
  </si>
  <si>
    <t>19</t>
  </si>
  <si>
    <t>20</t>
  </si>
  <si>
    <t>17</t>
  </si>
  <si>
    <t>18</t>
  </si>
  <si>
    <t>45</t>
  </si>
  <si>
    <t>46</t>
  </si>
  <si>
    <t>16</t>
  </si>
  <si>
    <t>21</t>
  </si>
  <si>
    <t>22</t>
  </si>
  <si>
    <t>23</t>
  </si>
  <si>
    <t>24</t>
  </si>
  <si>
    <t>29</t>
  </si>
  <si>
    <t>30</t>
  </si>
  <si>
    <t>31</t>
  </si>
  <si>
    <t>26</t>
  </si>
  <si>
    <t>32</t>
  </si>
  <si>
    <t>25</t>
  </si>
  <si>
    <t>36</t>
  </si>
  <si>
    <t>37</t>
  </si>
  <si>
    <t>27</t>
  </si>
  <si>
    <t>33</t>
  </si>
  <si>
    <t>34</t>
  </si>
  <si>
    <t>38</t>
  </si>
  <si>
    <t>39</t>
  </si>
  <si>
    <t>28</t>
  </si>
  <si>
    <t>35</t>
  </si>
  <si>
    <t>41</t>
  </si>
  <si>
    <t>40</t>
  </si>
  <si>
    <t>42</t>
  </si>
  <si>
    <t>47</t>
  </si>
  <si>
    <t>48</t>
  </si>
  <si>
    <t>49</t>
  </si>
  <si>
    <t>51</t>
  </si>
  <si>
    <t>43</t>
  </si>
  <si>
    <t>44</t>
  </si>
  <si>
    <t>50</t>
  </si>
  <si>
    <t>52</t>
  </si>
  <si>
    <t>53</t>
  </si>
  <si>
    <t>54</t>
  </si>
  <si>
    <t>55</t>
  </si>
  <si>
    <t>57</t>
  </si>
  <si>
    <t>59</t>
  </si>
  <si>
    <t>56</t>
  </si>
  <si>
    <t>58</t>
  </si>
  <si>
    <t>60</t>
  </si>
  <si>
    <t>61</t>
  </si>
  <si>
    <t>62</t>
  </si>
  <si>
    <t>63</t>
  </si>
  <si>
    <t>64</t>
  </si>
  <si>
    <t>65</t>
  </si>
  <si>
    <t>27 Total</t>
  </si>
  <si>
    <t>26 Total</t>
  </si>
  <si>
    <t>25 Total</t>
  </si>
  <si>
    <t>24 Total</t>
  </si>
  <si>
    <t>23 Total</t>
  </si>
  <si>
    <t>22 Total</t>
  </si>
  <si>
    <t>21 Total</t>
  </si>
  <si>
    <t>20 Total</t>
  </si>
  <si>
    <t>19 Total</t>
  </si>
  <si>
    <t>18 Total</t>
  </si>
  <si>
    <t>17 Total</t>
  </si>
  <si>
    <t>16 Total</t>
  </si>
  <si>
    <t>15 Total</t>
  </si>
  <si>
    <t>14 Total</t>
  </si>
  <si>
    <t>13 Total</t>
  </si>
  <si>
    <t>12 Total</t>
  </si>
  <si>
    <t>11 Total</t>
  </si>
  <si>
    <t>10 Total</t>
  </si>
  <si>
    <t>9 Total</t>
  </si>
  <si>
    <t>8 Total</t>
  </si>
  <si>
    <t>7 Total</t>
  </si>
  <si>
    <t>6 Total</t>
  </si>
  <si>
    <t>5 Total</t>
  </si>
  <si>
    <t>4 Total</t>
  </si>
  <si>
    <t>3 Total</t>
  </si>
  <si>
    <t>2 Total</t>
  </si>
  <si>
    <t>1 Total</t>
  </si>
  <si>
    <t>Knee patch attaches + Back patch attaches</t>
  </si>
  <si>
    <t>Side pocket attaches + Side pocket topstitches</t>
  </si>
  <si>
    <t>Right flybox overlock + Hip pocket overlocks</t>
  </si>
  <si>
    <t>Right flybox attach + Hip pocket finish</t>
  </si>
  <si>
    <t>Fly attach + Hip flap attaches</t>
  </si>
  <si>
    <t>Front prep bundling + Back marking</t>
  </si>
  <si>
    <t>Back prep bundling + Front &amp; back matching + Knee flap folding</t>
  </si>
  <si>
    <t>Knee pocket hemming + Knee flap runstitch</t>
  </si>
  <si>
    <t>Trouser turning + Adjustable prep</t>
  </si>
  <si>
    <t>Adjustable hemming + second adjustable attach</t>
  </si>
  <si>
    <t>35,40,41</t>
  </si>
  <si>
    <t>47,48</t>
  </si>
  <si>
    <t>3,9</t>
  </si>
  <si>
    <t>8,16</t>
  </si>
  <si>
    <t>19,24</t>
  </si>
  <si>
    <t>6,15,27</t>
  </si>
  <si>
    <t>23,26</t>
  </si>
  <si>
    <t>25,31</t>
  </si>
  <si>
    <t>Ráp gáy che vào vành</t>
  </si>
  <si>
    <t>1 Kim</t>
  </si>
  <si>
    <t>Viền lật gáy che + vành</t>
  </si>
  <si>
    <t>2 Kim (2.2)</t>
  </si>
  <si>
    <t>Gắn nhãn PL3.2 vào vành</t>
  </si>
  <si>
    <t>Viền 3.6 cm ( bọc vành nón )</t>
  </si>
  <si>
    <t>Trụ ngang</t>
  </si>
  <si>
    <t>Khóa Viền vành 3.6cm</t>
  </si>
  <si>
    <t>Ráp đỉnh trái + Đỉnh phải</t>
  </si>
  <si>
    <t>Viền tẻ 2 kim đỉnh + Cắt</t>
  </si>
  <si>
    <t>Ráp phản quang vào lưới phối trái + phải</t>
  </si>
  <si>
    <t>Vắt sổ phản quang trái + phải + cắt</t>
  </si>
  <si>
    <t>Diễu phối phản quang 2 bên + cắt</t>
  </si>
  <si>
    <t>Ráp đỉnh vào hông phối 2 bên</t>
  </si>
  <si>
    <t>7,10</t>
  </si>
  <si>
    <t>Ráp hông vào phối lưới 2 bên</t>
  </si>
  <si>
    <t>Viền lật 2 kim chóp hông trên x 2</t>
  </si>
  <si>
    <t>Viền lật 2 kim chóp  hông dưới x2</t>
  </si>
  <si>
    <t>Ráp lưới lót</t>
  </si>
  <si>
    <t>Viền tẻ lưới lót + cắt</t>
  </si>
  <si>
    <t>Ráp Band trai + phải vào mặt</t>
  </si>
  <si>
    <t>Diễu band và mặt  ( 1 kim or 2 kim )x 2</t>
  </si>
  <si>
    <t>Đính khóa vào 2 bên nón</t>
  </si>
  <si>
    <t>Ráp band  vào đuôi nón</t>
  </si>
  <si>
    <t>Diễu đuôi nón 2 bên</t>
  </si>
  <si>
    <t>Gọt chóp để ráp</t>
  </si>
  <si>
    <t>Tra band vào chóp</t>
  </si>
  <si>
    <t>May dây size vào chóp</t>
  </si>
  <si>
    <t>Tra chóp vào vành</t>
  </si>
  <si>
    <t>Gắn dây 7mm quai vào nón 2 bên</t>
  </si>
  <si>
    <t>Tra lót vào chóp</t>
  </si>
  <si>
    <t>Diễu chân nón 1.5mm</t>
  </si>
  <si>
    <t>Lượt lót vào Band trên</t>
  </si>
  <si>
    <t>Gắn nhãn vào đuôi nón</t>
  </si>
  <si>
    <t>Viền lật 2 kim quanh nón</t>
  </si>
  <si>
    <t>2 Kim</t>
  </si>
  <si>
    <t>2 Kim (2.8)</t>
  </si>
  <si>
    <t>Vắt sổ</t>
  </si>
  <si>
    <t>Phụ</t>
  </si>
  <si>
    <t>25,26</t>
  </si>
  <si>
    <t>32,33</t>
  </si>
  <si>
    <t>Tra lót vào vanhf</t>
  </si>
  <si>
    <t>5,24</t>
  </si>
  <si>
    <t>16,26</t>
  </si>
  <si>
    <t>16,27</t>
  </si>
  <si>
    <t>21,22</t>
  </si>
  <si>
    <t>Tra lót vào vành</t>
  </si>
  <si>
    <t>Ráp 5mm con đĩa</t>
  </si>
  <si>
    <t>Lược nhiều cái nhãn dính lại với nhau</t>
  </si>
  <si>
    <t>May chặn con đĩa vào khóa</t>
  </si>
  <si>
    <t>May chặn đầu dây khoá</t>
  </si>
  <si>
    <r>
      <rPr>
        <strike/>
        <sz val="10"/>
        <rFont val="Arial"/>
        <family val="2"/>
      </rPr>
      <t>May Ziczac chặn 4 điểm ở các bên xỏ lỗ ( tham khảo mẫu )</t>
    </r>
    <r>
      <rPr>
        <sz val="10"/>
        <rFont val="Arial"/>
        <family val="2"/>
      </rPr>
      <t xml:space="preserve"> (máy lập trình khuy-bọ)</t>
    </r>
  </si>
  <si>
    <t>Diễu viền 2 kim 5mm thân xung quanh chóp</t>
  </si>
  <si>
    <t>Lược nhãn vào gáy che</t>
  </si>
  <si>
    <t>May bọc viền vành</t>
  </si>
  <si>
    <t>Ráp lược lót chóp vào chóp ( lược phần trên )</t>
  </si>
  <si>
    <t>Lược nhãn vào giữa đường 2 kim chóp</t>
  </si>
  <si>
    <t>Trụ bước đứng</t>
  </si>
  <si>
    <t>Tra lót chóp vào vành</t>
  </si>
  <si>
    <t>Ráp thân dưới vào chóp nón
( Ráp 6mm điểm xỏ trùng với điểm giưã hai kim của hông nón )</t>
  </si>
  <si>
    <t>Diễu gấp đầu 2mm hông nón ( Phần đuôi )</t>
  </si>
  <si>
    <t>Diễu 2mm hai bên đường ráp mặt và hông nón ( Giống sun tripper)</t>
  </si>
  <si>
    <t>Lược hông nón vào đuôi nón ( Lược theo dấu )</t>
  </si>
  <si>
    <t>Ráp mặt vào hông nón ( Ráp theo dấu , chừa 1 lỗ 2.5cm ở giữa )</t>
  </si>
  <si>
    <t>Diễu viền 2 kim 5mm hông dưới ( 2 bên )</t>
  </si>
  <si>
    <t>Ráp hông dưới vào hông trên ( 2 bên )</t>
  </si>
  <si>
    <t>Diễu viền 2 kim 5mm đỉnh và hông phối ( 2 bên-viền diễu phần đỉnh )</t>
  </si>
  <si>
    <t>Ráp hông phối và hông vào đỉnh ( 2 bên )</t>
  </si>
  <si>
    <t>Diễu 1.5 mm hông phối</t>
  </si>
  <si>
    <t>Vắt sổ hông lưới và hông phối ( 2 bên )</t>
  </si>
  <si>
    <t xml:space="preserve">Ráp lót đai </t>
  </si>
  <si>
    <t>Ráp hông lưới vào hông phối ( 2 bên )</t>
  </si>
  <si>
    <t>Viền 2 kim đỉnh nón ( Viền 2 kim thường)</t>
  </si>
  <si>
    <t>Viền 2 kim lót đai</t>
  </si>
  <si>
    <t>Gắn khoá vào đuôi nón( Bên ngắn TP = 1 cm , bên dài TP = 10 cm ) Phần dành xỏ khoá cắt 6 cm ráp nối 6-7 mm</t>
  </si>
  <si>
    <t>Ráp 6mm đỉnh nón</t>
  </si>
  <si>
    <t>Diễu 1.5mm xung quanh chân nón</t>
  </si>
  <si>
    <t>Đính dây quai vào vành</t>
  </si>
  <si>
    <t>Trụ bước ngang</t>
  </si>
  <si>
    <t>Bọc viền xung quanh vành</t>
  </si>
  <si>
    <t>Viền diễu 2 kim 5mm gáy che và vành ( Dây viền 2.2 ép lưới và lót thêm 1 lớp keo
HQ bên trong rộng 8-9 mm</t>
  </si>
  <si>
    <t>May dây size felt vào nón</t>
  </si>
  <si>
    <t>Bọc hai đầu cọng cước ở ngoài vành bằng vải kate hoặc vải chính</t>
  </si>
  <si>
    <t>Bọc đầu cọng cước ở giưã vành bằng keo HQ ( Bọc hai lớp keo )</t>
  </si>
  <si>
    <t>Ziczac</t>
  </si>
  <si>
    <t>May cọng cước vào vành ( Cọng cước cắt đôi ở điểm giữa vành )</t>
  </si>
  <si>
    <t>1 người</t>
  </si>
  <si>
    <t>1 kim</t>
  </si>
  <si>
    <t>máy khuy bọ</t>
  </si>
  <si>
    <t>2 kim</t>
  </si>
  <si>
    <t>May Ziczac chặn 4 điểm ở các bên xỏ lỗ ( tham khảo mẫu )</t>
  </si>
  <si>
    <t>1 kim hỗ trợ sửa hàng</t>
  </si>
  <si>
    <t>Dự bị</t>
  </si>
  <si>
    <t>Ráp lót đai</t>
  </si>
  <si>
    <t>2-3</t>
  </si>
  <si>
    <t>8-9</t>
  </si>
  <si>
    <t>4-5</t>
  </si>
  <si>
    <t>37-38</t>
  </si>
  <si>
    <t>35-36</t>
  </si>
  <si>
    <t>29-30</t>
  </si>
  <si>
    <t>31-32</t>
  </si>
  <si>
    <t>24-25</t>
  </si>
  <si>
    <t>22-23</t>
  </si>
  <si>
    <t>10-11</t>
  </si>
  <si>
    <t>12-13</t>
  </si>
  <si>
    <t>14-15</t>
  </si>
  <si>
    <t>13,17</t>
  </si>
  <si>
    <t>11,23</t>
  </si>
  <si>
    <t>21,24</t>
  </si>
  <si>
    <t>5,32</t>
  </si>
  <si>
    <t>8,12</t>
  </si>
  <si>
    <r>
      <t>Ziczac</t>
    </r>
    <r>
      <rPr>
        <sz val="10"/>
        <rFont val="Arial"/>
        <family val="2"/>
      </rPr>
      <t xml:space="preserve"> (Lập trình)</t>
    </r>
  </si>
  <si>
    <t>Viền lật 3 kim quanh nón</t>
  </si>
  <si>
    <t>31,32</t>
  </si>
  <si>
    <t>30,36</t>
  </si>
  <si>
    <t>Bọc đầu cọng cước ở giưã vành bằng keo HQ ( Bọc hai lớp keo ) + Bọc hai đầu cọng cước ở ngoài vành bằng vải kate hoặc vải chính</t>
  </si>
  <si>
    <t>Viền 2 kim lót đai + Viền 2 kim đỉnh nón ( Viền 2 kim thường)</t>
  </si>
  <si>
    <t xml:space="preserve">Ráp hông lưới vào hông phối ( 2 bên ) + Ráp lót đai </t>
  </si>
  <si>
    <t>Viền diễu 2 kim 5mm gáy che và vành ( Dây viền 2.2 ép lưới và lót thêm 1 lớp keo
HQ bên trong rộng 8-9 mm + Bọc viền xung quanh vòng</t>
  </si>
  <si>
    <t>Đính dây quai vào vành + Diễu 1.5mm xung quanh chân nón</t>
  </si>
  <si>
    <t>Ráp 6mm đỉnh nón + Gắn khoá vào đuôi nón( Bên ngắn TP = 1 cm , bên dài TP = 10 cm ) Phần dành xỏ khoá cắt 6 cm ráp nối 6-7 mm</t>
  </si>
  <si>
    <t>Vắt sổ hông lưới và hông phối ( 2 bên ) + Diễu 1.5 mm hông phối</t>
  </si>
  <si>
    <t>Ráp mặt vào hông nón ( Ráp theo dấu , chừa 1 lỗ 2.5cm ở giữa ) + Lược hông nón vào đuôi nón ( Lược theo dấu )</t>
  </si>
  <si>
    <t>Diễu 2mm hai bên đường ráp mặt và hông nón ( Giống sun tripper) + Diễu gấp đầu 2mm hông nón ( Phần đuôi )</t>
  </si>
  <si>
    <t>May bọc viền vành + Lược nhãn vào gáy che</t>
  </si>
  <si>
    <t>May chặn đầu dây khoá + May chặn con đĩa vào khóa</t>
  </si>
  <si>
    <t>Lược nhiều cái nhãn dính lại với nhau + Ráp 5mm con đĩa</t>
  </si>
  <si>
    <t>18,20</t>
  </si>
  <si>
    <t>7,9</t>
  </si>
  <si>
    <t>8,10</t>
  </si>
  <si>
    <t>14,16</t>
  </si>
  <si>
    <t>4,22</t>
  </si>
  <si>
    <t>21,25</t>
  </si>
  <si>
    <t xml:space="preserve">Vắt sổ </t>
  </si>
  <si>
    <t>12,16</t>
  </si>
  <si>
    <t>20,22</t>
  </si>
  <si>
    <t>4,29</t>
  </si>
  <si>
    <t>7,11</t>
  </si>
  <si>
    <t>27,32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</si>
</sst>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Arial Narrow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0070C0"/>
      <name val="Franklin Gothic Book"/>
      <family val="2"/>
    </font>
    <font>
      <u/>
      <sz val="11"/>
      <color theme="10"/>
      <name val="Arial Narrow"/>
      <family val="2"/>
    </font>
    <font>
      <u/>
      <sz val="12"/>
      <color theme="10"/>
      <name val="Arial Narrow"/>
      <family val="2"/>
    </font>
    <font>
      <sz val="12"/>
      <color rgb="FF202122"/>
      <name val="Courier New"/>
      <family val="3"/>
    </font>
    <font>
      <b/>
      <u/>
      <sz val="12"/>
      <color theme="10"/>
      <name val="Arial Narrow"/>
      <family val="2"/>
    </font>
    <font>
      <b/>
      <sz val="11"/>
      <color rgb="FF202122"/>
      <name val="Arial"/>
      <family val="2"/>
    </font>
    <font>
      <sz val="11"/>
      <color rgb="FF202122"/>
      <name val="Courier New"/>
      <family val="3"/>
    </font>
    <font>
      <sz val="11"/>
      <color rgb="FF202122"/>
      <name val="Arial"/>
      <family val="2"/>
    </font>
    <font>
      <b/>
      <sz val="11"/>
      <color theme="0"/>
      <name val="Franklin Gothic Book"/>
      <family val="2"/>
    </font>
    <font>
      <sz val="11"/>
      <color theme="1"/>
      <name val="Amasis MT Pro Black"/>
      <family val="1"/>
    </font>
    <font>
      <b/>
      <u/>
      <sz val="11"/>
      <color theme="1"/>
      <name val="Amasis MT Pro Black"/>
      <family val="1"/>
    </font>
    <font>
      <b/>
      <sz val="11"/>
      <color theme="1"/>
      <name val="Amasis MT Pro Black"/>
      <family val="1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trike/>
      <sz val="10"/>
      <name val="Arial"/>
      <family val="2"/>
    </font>
    <font>
      <sz val="12"/>
      <name val="Calibri"/>
      <family val="2"/>
      <scheme val="minor"/>
    </font>
    <font>
      <b/>
      <sz val="9"/>
      <name val="Times New Roman"/>
      <family val="1"/>
    </font>
    <font>
      <sz val="9"/>
      <name val="Times New Roman"/>
      <family val="1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CCCCCC"/>
      </left>
      <right style="medium">
        <color rgb="FFAAAAAA"/>
      </right>
      <top/>
      <bottom/>
      <diagonal/>
    </border>
    <border>
      <left style="medium">
        <color rgb="FFAAAAAA"/>
      </left>
      <right/>
      <top/>
      <bottom/>
      <diagonal/>
    </border>
    <border>
      <left/>
      <right style="medium">
        <color rgb="FFAAAAAA"/>
      </right>
      <top/>
      <bottom/>
      <diagonal/>
    </border>
    <border>
      <left style="thick">
        <color rgb="FF0048BA"/>
      </left>
      <right/>
      <top/>
      <bottom/>
      <diagonal/>
    </border>
    <border>
      <left style="thick">
        <color rgb="FFB0BF1A"/>
      </left>
      <right/>
      <top/>
      <bottom/>
      <diagonal/>
    </border>
    <border>
      <left style="thick">
        <color rgb="FF7CB9E8"/>
      </left>
      <right/>
      <top/>
      <bottom/>
      <diagonal/>
    </border>
    <border>
      <left style="thick">
        <color rgb="FFC0E8D5"/>
      </left>
      <right/>
      <top/>
      <bottom/>
      <diagonal/>
    </border>
    <border>
      <left style="thick">
        <color rgb="FFB284BE"/>
      </left>
      <right/>
      <top/>
      <bottom/>
      <diagonal/>
    </border>
    <border>
      <left style="thick">
        <color rgb="FF72A0C1"/>
      </left>
      <right/>
      <top/>
      <bottom/>
      <diagonal/>
    </border>
    <border>
      <left style="thick">
        <color rgb="FFEDEAE0"/>
      </left>
      <right/>
      <top/>
      <bottom/>
      <diagonal/>
    </border>
    <border>
      <left style="thick">
        <color rgb="FFF0F8FF"/>
      </left>
      <right/>
      <top/>
      <bottom/>
      <diagonal/>
    </border>
    <border>
      <left style="thick">
        <color rgb="FFC46210"/>
      </left>
      <right/>
      <top/>
      <bottom/>
      <diagonal/>
    </border>
    <border>
      <left style="thick">
        <color rgb="FFEFDECD"/>
      </left>
      <right/>
      <top/>
      <bottom/>
      <diagonal/>
    </border>
    <border>
      <left style="thick">
        <color rgb="FFE52B50"/>
      </left>
      <right/>
      <top/>
      <bottom/>
      <diagonal/>
    </border>
    <border>
      <left style="thick">
        <color rgb="FF9F2B68"/>
      </left>
      <right/>
      <top/>
      <bottom/>
      <diagonal/>
    </border>
    <border>
      <left style="thick">
        <color rgb="FFF19CBB"/>
      </left>
      <right/>
      <top/>
      <bottom/>
      <diagonal/>
    </border>
    <border>
      <left style="thick">
        <color rgb="FFAB274F"/>
      </left>
      <right/>
      <top/>
      <bottom/>
      <diagonal/>
    </border>
    <border>
      <left style="thick">
        <color rgb="FFD3212D"/>
      </left>
      <right/>
      <top/>
      <bottom/>
      <diagonal/>
    </border>
    <border>
      <left style="thick">
        <color rgb="FF3B7A57"/>
      </left>
      <right/>
      <top/>
      <bottom/>
      <diagonal/>
    </border>
    <border>
      <left style="thick">
        <color rgb="FFFFBF00"/>
      </left>
      <right/>
      <top/>
      <bottom/>
      <diagonal/>
    </border>
    <border>
      <left style="thick">
        <color rgb="FFFF7E00"/>
      </left>
      <right/>
      <top/>
      <bottom/>
      <diagonal/>
    </border>
    <border>
      <left style="thick">
        <color rgb="FF9966CC"/>
      </left>
      <right/>
      <top/>
      <bottom/>
      <diagonal/>
    </border>
    <border>
      <left style="thick">
        <color rgb="FFA4C639"/>
      </left>
      <right/>
      <top/>
      <bottom/>
      <diagonal/>
    </border>
    <border>
      <left style="thick">
        <color rgb="FFCD9575"/>
      </left>
      <right/>
      <top/>
      <bottom/>
      <diagonal/>
    </border>
    <border>
      <left style="thick">
        <color rgb="FF665D1E"/>
      </left>
      <right/>
      <top/>
      <bottom/>
      <diagonal/>
    </border>
    <border>
      <left style="thick">
        <color rgb="FF915C83"/>
      </left>
      <right/>
      <top/>
      <bottom/>
      <diagonal/>
    </border>
    <border>
      <left style="thick">
        <color rgb="FF841B2D"/>
      </left>
      <right/>
      <top/>
      <bottom/>
      <diagonal/>
    </border>
    <border>
      <left style="thick">
        <color rgb="FFFAEBD7"/>
      </left>
      <right/>
      <top/>
      <bottom/>
      <diagonal/>
    </border>
    <border>
      <left style="thick">
        <color rgb="FF008000"/>
      </left>
      <right/>
      <top/>
      <bottom/>
      <diagonal/>
    </border>
    <border>
      <left style="thick">
        <color rgb="FF8DB600"/>
      </left>
      <right/>
      <top/>
      <bottom/>
      <diagonal/>
    </border>
    <border>
      <left style="thick">
        <color rgb="FFFBCEB1"/>
      </left>
      <right/>
      <top/>
      <bottom/>
      <diagonal/>
    </border>
    <border>
      <left style="thick">
        <color rgb="FF00FFFF"/>
      </left>
      <right/>
      <top/>
      <bottom/>
      <diagonal/>
    </border>
    <border>
      <left style="thick">
        <color rgb="FF7FFFD4"/>
      </left>
      <right/>
      <top/>
      <bottom/>
      <diagonal/>
    </border>
    <border>
      <left style="thick">
        <color rgb="FFD0FF14"/>
      </left>
      <right/>
      <top/>
      <bottom/>
      <diagonal/>
    </border>
    <border>
      <left style="thick">
        <color rgb="FF4B5320"/>
      </left>
      <right/>
      <top/>
      <bottom/>
      <diagonal/>
    </border>
    <border>
      <left style="thick">
        <color rgb="FF8F9779"/>
      </left>
      <right/>
      <top/>
      <bottom/>
      <diagonal/>
    </border>
    <border>
      <left style="thick">
        <color rgb="FFE9D66B"/>
      </left>
      <right/>
      <top/>
      <bottom/>
      <diagonal/>
    </border>
    <border>
      <left style="thick">
        <color rgb="FFB2BEB5"/>
      </left>
      <right/>
      <top/>
      <bottom/>
      <diagonal/>
    </border>
    <border>
      <left style="thick">
        <color rgb="FF87A96B"/>
      </left>
      <right/>
      <top/>
      <bottom/>
      <diagonal/>
    </border>
    <border>
      <left style="thick">
        <color rgb="FFFF9966"/>
      </left>
      <right/>
      <top/>
      <bottom/>
      <diagonal/>
    </border>
    <border>
      <left style="thick">
        <color rgb="FFA52A2A"/>
      </left>
      <right/>
      <top/>
      <bottom/>
      <diagonal/>
    </border>
    <border>
      <left style="thick">
        <color rgb="FFFDEE00"/>
      </left>
      <right/>
      <top/>
      <bottom/>
      <diagonal/>
    </border>
    <border>
      <left style="thick">
        <color rgb="FF568203"/>
      </left>
      <right/>
      <top/>
      <bottom/>
      <diagonal/>
    </border>
    <border>
      <left style="thick">
        <color rgb="FF007FFF"/>
      </left>
      <right/>
      <top/>
      <bottom/>
      <diagonal/>
    </border>
    <border>
      <left style="thick">
        <color rgb="FFF0FFFF"/>
      </left>
      <right/>
      <top/>
      <bottom/>
      <diagonal/>
    </border>
    <border>
      <left style="thick">
        <color rgb="FF89CFF0"/>
      </left>
      <right/>
      <top/>
      <bottom/>
      <diagonal/>
    </border>
    <border>
      <left style="thick">
        <color rgb="FFA1CAF1"/>
      </left>
      <right/>
      <top/>
      <bottom/>
      <diagonal/>
    </border>
    <border>
      <left style="thick">
        <color rgb="FFF4C2C2"/>
      </left>
      <right/>
      <top/>
      <bottom/>
      <diagonal/>
    </border>
    <border>
      <left style="thick">
        <color rgb="FFFEFEFA"/>
      </left>
      <right/>
      <top/>
      <bottom/>
      <diagonal/>
    </border>
    <border>
      <left style="thick">
        <color rgb="FFFF91AF"/>
      </left>
      <right/>
      <top/>
      <bottom/>
      <diagonal/>
    </border>
    <border>
      <left style="thick">
        <color rgb="FFFAE7B5"/>
      </left>
      <right/>
      <top/>
      <bottom/>
      <diagonal/>
    </border>
    <border>
      <left style="thick">
        <color rgb="FFDA1884"/>
      </left>
      <right/>
      <top/>
      <bottom/>
      <diagonal/>
    </border>
    <border>
      <left style="thick">
        <color rgb="FF7C0A02"/>
      </left>
      <right/>
      <top/>
      <bottom/>
      <diagonal/>
    </border>
    <border>
      <left style="thick">
        <color rgb="FF848482"/>
      </left>
      <right/>
      <top/>
      <bottom/>
      <diagonal/>
    </border>
    <border>
      <left style="thick">
        <color rgb="FFBCD4E6"/>
      </left>
      <right/>
      <top/>
      <bottom/>
      <diagonal/>
    </border>
    <border>
      <left style="thick">
        <color rgb="FF9F8170"/>
      </left>
      <right/>
      <top/>
      <bottom/>
      <diagonal/>
    </border>
    <border>
      <left style="thick">
        <color rgb="FFF5F5DC"/>
      </left>
      <right/>
      <top/>
      <bottom/>
      <diagonal/>
    </border>
    <border>
      <left style="thick">
        <color rgb="FF2E5894"/>
      </left>
      <right/>
      <top/>
      <bottom/>
      <diagonal/>
    </border>
    <border>
      <left style="thick">
        <color rgb="FF9C2542"/>
      </left>
      <right/>
      <top/>
      <bottom/>
      <diagonal/>
    </border>
    <border>
      <left style="thick">
        <color rgb="FFFFE4C4"/>
      </left>
      <right/>
      <top/>
      <bottom/>
      <diagonal/>
    </border>
    <border>
      <left style="thick">
        <color rgb="FF3D2B1F"/>
      </left>
      <right/>
      <top/>
      <bottom/>
      <diagonal/>
    </border>
    <border>
      <left style="thick">
        <color rgb="FF967117"/>
      </left>
      <right/>
      <top/>
      <bottom/>
      <diagonal/>
    </border>
    <border>
      <left style="thick">
        <color rgb="FFCAE00D"/>
      </left>
      <right/>
      <top/>
      <bottom/>
      <diagonal/>
    </border>
    <border>
      <left style="thick">
        <color rgb="FFBFFF00"/>
      </left>
      <right/>
      <top/>
      <bottom/>
      <diagonal/>
    </border>
    <border>
      <left style="thick">
        <color rgb="FFFE6F5E"/>
      </left>
      <right/>
      <top/>
      <bottom/>
      <diagonal/>
    </border>
    <border>
      <left style="thick">
        <color rgb="FFBF4F51"/>
      </left>
      <right/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3D0C02"/>
      </left>
      <right/>
      <top/>
      <bottom/>
      <diagonal/>
    </border>
    <border>
      <left style="thick">
        <color rgb="FF1B1811"/>
      </left>
      <right/>
      <top/>
      <bottom/>
      <diagonal/>
    </border>
    <border>
      <left style="thick">
        <color rgb="FF3B2F2F"/>
      </left>
      <right/>
      <top/>
      <bottom/>
      <diagonal/>
    </border>
    <border>
      <left style="thick">
        <color rgb="FF54626F"/>
      </left>
      <right/>
      <top/>
      <bottom/>
      <diagonal/>
    </border>
    <border>
      <left style="thick">
        <color rgb="FF3B3C36"/>
      </left>
      <right/>
      <top/>
      <bottom/>
      <diagonal/>
    </border>
    <border>
      <left style="thick">
        <color rgb="FFBFAFB2"/>
      </left>
      <right/>
      <top/>
      <bottom/>
      <diagonal/>
    </border>
    <border>
      <left style="thick">
        <color rgb="FFFFEBCD"/>
      </left>
      <right/>
      <top/>
      <bottom/>
      <diagonal/>
    </border>
    <border>
      <left style="thick">
        <color rgb="FFA57164"/>
      </left>
      <right/>
      <top/>
      <bottom/>
      <diagonal/>
    </border>
    <border>
      <left style="thick">
        <color rgb="FF318CE7"/>
      </left>
      <right/>
      <top/>
      <bottom/>
      <diagonal/>
    </border>
    <border>
      <left style="thick">
        <color rgb="FFACE5EE"/>
      </left>
      <right/>
      <top/>
      <bottom/>
      <diagonal/>
    </border>
    <border>
      <left style="thick">
        <color rgb="FFFAF0BE"/>
      </left>
      <right/>
      <top/>
      <bottom/>
      <diagonal/>
    </border>
    <border>
      <left style="thick">
        <color rgb="FF660000"/>
      </left>
      <right/>
      <top/>
      <bottom/>
      <diagonal/>
    </border>
    <border>
      <left style="thick">
        <color rgb="FF0000FF"/>
      </left>
      <right/>
      <top/>
      <bottom/>
      <diagonal/>
    </border>
    <border>
      <left style="thick">
        <color rgb="FF1F75FE"/>
      </left>
      <right/>
      <top/>
      <bottom/>
      <diagonal/>
    </border>
    <border>
      <left style="thick">
        <color rgb="FF0093AF"/>
      </left>
      <right/>
      <top/>
      <bottom/>
      <diagonal/>
    </border>
    <border>
      <left style="thick">
        <color rgb="FF0087BD"/>
      </left>
      <right/>
      <top/>
      <bottom/>
      <diagonal/>
    </border>
    <border>
      <left style="thick">
        <color rgb="FF0018A8"/>
      </left>
      <right/>
      <top/>
      <bottom/>
      <diagonal/>
    </border>
    <border>
      <left style="thick">
        <color rgb="FF333399"/>
      </left>
      <right/>
      <top/>
      <bottom/>
      <diagonal/>
    </border>
    <border>
      <left style="thick">
        <color rgb="FF0247FE"/>
      </left>
      <right/>
      <top/>
      <bottom/>
      <diagonal/>
    </border>
    <border>
      <left style="thick">
        <color rgb="FFA2A2D0"/>
      </left>
      <right/>
      <top/>
      <bottom/>
      <diagonal/>
    </border>
    <border>
      <left style="thick">
        <color rgb="FF6699CC"/>
      </left>
      <right/>
      <top/>
      <bottom/>
      <diagonal/>
    </border>
    <border>
      <left style="thick">
        <color rgb="FF0D98BA"/>
      </left>
      <right/>
      <top/>
      <bottom/>
      <diagonal/>
    </border>
    <border>
      <left style="thick">
        <color rgb="FF064E40"/>
      </left>
      <right/>
      <top/>
      <bottom/>
      <diagonal/>
    </border>
    <border>
      <left style="thick">
        <color rgb="FF5DADEC"/>
      </left>
      <right/>
      <top/>
      <bottom/>
      <diagonal/>
    </border>
    <border>
      <left style="thick">
        <color rgb="FF126180"/>
      </left>
      <right/>
      <top/>
      <bottom/>
      <diagonal/>
    </border>
    <border>
      <left style="thick">
        <color rgb="FF8A2BE2"/>
      </left>
      <right/>
      <top/>
      <bottom/>
      <diagonal/>
    </border>
    <border>
      <left style="thick">
        <color rgb="FF7366BD"/>
      </left>
      <right/>
      <top/>
      <bottom/>
      <diagonal/>
    </border>
    <border>
      <left style="thick">
        <color rgb="FF4D1A7F"/>
      </left>
      <right/>
      <top/>
      <bottom/>
      <diagonal/>
    </border>
    <border>
      <left style="thick">
        <color rgb="FF5072A7"/>
      </left>
      <right/>
      <top/>
      <bottom/>
      <diagonal/>
    </border>
    <border>
      <left style="thick">
        <color rgb="FF3C69E7"/>
      </left>
      <right/>
      <top/>
      <bottom/>
      <diagonal/>
    </border>
    <border>
      <left style="thick">
        <color rgb="FFDE5D83"/>
      </left>
      <right/>
      <top/>
      <bottom/>
      <diagonal/>
    </border>
    <border>
      <left style="thick">
        <color rgb="FF79443B"/>
      </left>
      <right/>
      <top/>
      <bottom/>
      <diagonal/>
    </border>
    <border>
      <left style="thick">
        <color rgb="FFE3DAC9"/>
      </left>
      <right/>
      <top/>
      <bottom/>
      <diagonal/>
    </border>
    <border>
      <left style="thick">
        <color rgb="FF006A4E"/>
      </left>
      <right/>
      <top/>
      <bottom/>
      <diagonal/>
    </border>
    <border>
      <left style="thick">
        <color rgb="FF87413F"/>
      </left>
      <right/>
      <top/>
      <bottom/>
      <diagonal/>
    </border>
    <border>
      <left style="thick">
        <color rgb="FFCB4154"/>
      </left>
      <right/>
      <top/>
      <bottom/>
      <diagonal/>
    </border>
    <border>
      <left style="thick">
        <color rgb="FF66FF00"/>
      </left>
      <right/>
      <top/>
      <bottom/>
      <diagonal/>
    </border>
    <border>
      <left style="thick">
        <color rgb="FFD891EF"/>
      </left>
      <right/>
      <top/>
      <bottom/>
      <diagonal/>
    </border>
    <border>
      <left style="thick">
        <color rgb="FFC32148"/>
      </left>
      <right/>
      <top/>
      <bottom/>
      <diagonal/>
    </border>
    <border>
      <left style="thick">
        <color rgb="FF1974D2"/>
      </left>
      <right/>
      <top/>
      <bottom/>
      <diagonal/>
    </border>
    <border>
      <left style="thick">
        <color rgb="FFFFAA1D"/>
      </left>
      <right/>
      <top/>
      <bottom/>
      <diagonal/>
    </border>
    <border>
      <left style="thick">
        <color rgb="FFFF55A3"/>
      </left>
      <right/>
      <top/>
      <bottom/>
      <diagonal/>
    </border>
    <border>
      <left style="thick">
        <color rgb="FFFB607F"/>
      </left>
      <right/>
      <top/>
      <bottom/>
      <diagonal/>
    </border>
    <border>
      <left style="thick">
        <color rgb="FF004225"/>
      </left>
      <right/>
      <top/>
      <bottom/>
      <diagonal/>
    </border>
    <border>
      <left style="thick">
        <color rgb="FFCD7F32"/>
      </left>
      <right/>
      <top/>
      <bottom/>
      <diagonal/>
    </border>
    <border>
      <left style="thick">
        <color rgb="FF88540B"/>
      </left>
      <right/>
      <top/>
      <bottom/>
      <diagonal/>
    </border>
    <border>
      <left style="thick">
        <color rgb="FFAF6E4D"/>
      </left>
      <right/>
      <top/>
      <bottom/>
      <diagonal/>
    </border>
    <border>
      <left style="thick">
        <color rgb="FF1B4D3E"/>
      </left>
      <right/>
      <top/>
      <bottom/>
      <diagonal/>
    </border>
    <border>
      <left style="thick">
        <color rgb="FF7BB661"/>
      </left>
      <right/>
      <top/>
      <bottom/>
      <diagonal/>
    </border>
    <border>
      <left style="thick">
        <color rgb="FFFFC680"/>
      </left>
      <right/>
      <top/>
      <bottom/>
      <diagonal/>
    </border>
    <border>
      <left style="thick">
        <color rgb="FF800020"/>
      </left>
      <right/>
      <top/>
      <bottom/>
      <diagonal/>
    </border>
    <border>
      <left style="thick">
        <color rgb="FFDEB887"/>
      </left>
      <right/>
      <top/>
      <bottom/>
      <diagonal/>
    </border>
    <border>
      <left style="thick">
        <color rgb="FFA17A74"/>
      </left>
      <right/>
      <top/>
      <bottom/>
      <diagonal/>
    </border>
    <border>
      <left style="thick">
        <color rgb="FFCC5500"/>
      </left>
      <right/>
      <top/>
      <bottom/>
      <diagonal/>
    </border>
    <border>
      <left style="thick">
        <color rgb="FFE97451"/>
      </left>
      <right/>
      <top/>
      <bottom/>
      <diagonal/>
    </border>
    <border>
      <left style="thick">
        <color rgb="FF8A3324"/>
      </left>
      <right/>
      <top/>
      <bottom/>
      <diagonal/>
    </border>
    <border>
      <left style="thick">
        <color rgb="FFBD33A4"/>
      </left>
      <right/>
      <top/>
      <bottom/>
      <diagonal/>
    </border>
    <border>
      <left style="thick">
        <color rgb="FF702963"/>
      </left>
      <right/>
      <top/>
      <bottom/>
      <diagonal/>
    </border>
    <border>
      <left style="thick">
        <color rgb="FF536872"/>
      </left>
      <right/>
      <top/>
      <bottom/>
      <diagonal/>
    </border>
    <border>
      <left style="thick">
        <color rgb="FF5F9EA0"/>
      </left>
      <right/>
      <top/>
      <bottom/>
      <diagonal/>
    </border>
    <border>
      <left style="thick">
        <color rgb="FFA9B2C3"/>
      </left>
      <right/>
      <top/>
      <bottom/>
      <diagonal/>
    </border>
    <border>
      <left style="thick">
        <color rgb="FF91A3B0"/>
      </left>
      <right/>
      <top/>
      <bottom/>
      <diagonal/>
    </border>
    <border>
      <left style="thick">
        <color rgb="FF006B3C"/>
      </left>
      <right/>
      <top/>
      <bottom/>
      <diagonal/>
    </border>
    <border>
      <left style="thick">
        <color rgb="FFED872D"/>
      </left>
      <right/>
      <top/>
      <bottom/>
      <diagonal/>
    </border>
    <border>
      <left style="thick">
        <color rgb="FFE30022"/>
      </left>
      <right/>
      <top/>
      <bottom/>
      <diagonal/>
    </border>
    <border>
      <left style="thick">
        <color rgb="FFFFF600"/>
      </left>
      <right/>
      <top/>
      <bottom/>
      <diagonal/>
    </border>
    <border>
      <left style="thick">
        <color rgb="FFA67B5B"/>
      </left>
      <right/>
      <top/>
      <bottom/>
      <diagonal/>
    </border>
    <border>
      <left style="thick">
        <color rgb="FF4B3621"/>
      </left>
      <right/>
      <top/>
      <bottom/>
      <diagonal/>
    </border>
    <border>
      <left style="thick">
        <color rgb="FFA3C1AD"/>
      </left>
      <right/>
      <top/>
      <bottom/>
      <diagonal/>
    </border>
    <border>
      <left style="thick">
        <color rgb="FFC19A6B"/>
      </left>
      <right/>
      <top/>
      <bottom/>
      <diagonal/>
    </border>
    <border>
      <left style="thick">
        <color rgb="FFEFBBCC"/>
      </left>
      <right/>
      <top/>
      <bottom/>
      <diagonal/>
    </border>
    <border>
      <left style="thick">
        <color rgb="FFFFFF99"/>
      </left>
      <right/>
      <top/>
      <bottom/>
      <diagonal/>
    </border>
    <border>
      <left style="thick">
        <color rgb="FFFFEF00"/>
      </left>
      <right/>
      <top/>
      <bottom/>
      <diagonal/>
    </border>
    <border>
      <left style="thick">
        <color rgb="FFFF0800"/>
      </left>
      <right/>
      <top/>
      <bottom/>
      <diagonal/>
    </border>
    <border>
      <left style="thick">
        <color rgb="FFE4717A"/>
      </left>
      <right/>
      <top/>
      <bottom/>
      <diagonal/>
    </border>
    <border>
      <left style="thick">
        <color rgb="FF00BFFF"/>
      </left>
      <right/>
      <top/>
      <bottom/>
      <diagonal/>
    </border>
    <border>
      <left style="thick">
        <color rgb="FF592720"/>
      </left>
      <right/>
      <top/>
      <bottom/>
      <diagonal/>
    </border>
    <border>
      <left style="thick">
        <color rgb="FFC41E3A"/>
      </left>
      <right/>
      <top/>
      <bottom/>
      <diagonal/>
    </border>
    <border>
      <left style="thick">
        <color rgb="FF00CC99"/>
      </left>
      <right/>
      <top/>
      <bottom/>
      <diagonal/>
    </border>
    <border>
      <left style="thick">
        <color rgb="FF960018"/>
      </left>
      <right/>
      <top/>
      <bottom/>
      <diagonal/>
    </border>
    <border>
      <left style="thick">
        <color rgb="FFD70040"/>
      </left>
      <right/>
      <top/>
      <bottom/>
      <diagonal/>
    </border>
    <border>
      <left style="thick">
        <color rgb="FFFFA6C9"/>
      </left>
      <right/>
      <top/>
      <bottom/>
      <diagonal/>
    </border>
    <border>
      <left style="thick">
        <color rgb="FFB31B1B"/>
      </left>
      <right/>
      <top/>
      <bottom/>
      <diagonal/>
    </border>
    <border>
      <left style="thick">
        <color rgb="FF56A0D3"/>
      </left>
      <right/>
      <top/>
      <bottom/>
      <diagonal/>
    </border>
    <border>
      <left style="thick">
        <color rgb="FFED9121"/>
      </left>
      <right/>
      <top/>
      <bottom/>
      <diagonal/>
    </border>
    <border>
      <left style="thick">
        <color rgb="FF00563F"/>
      </left>
      <right/>
      <top/>
      <bottom/>
      <diagonal/>
    </border>
    <border>
      <left style="thick">
        <color rgb="FF703642"/>
      </left>
      <right/>
      <top/>
      <bottom/>
      <diagonal/>
    </border>
    <border>
      <left style="thick">
        <color rgb="FFC95A49"/>
      </left>
      <right/>
      <top/>
      <bottom/>
      <diagonal/>
    </border>
    <border>
      <left style="thick">
        <color rgb="FFACE1AF"/>
      </left>
      <right/>
      <top/>
      <bottom/>
      <diagonal/>
    </border>
    <border>
      <left style="thick">
        <color rgb="FF007BA7"/>
      </left>
      <right/>
      <top/>
      <bottom/>
      <diagonal/>
    </border>
    <border>
      <left style="thick">
        <color rgb="FF2F847C"/>
      </left>
      <right/>
      <top/>
      <bottom/>
      <diagonal/>
    </border>
    <border>
      <left style="thick">
        <color rgb="FFB2FFFF"/>
      </left>
      <right/>
      <top/>
      <bottom/>
      <diagonal/>
    </border>
    <border>
      <left style="thick">
        <color rgb="FF246BCE"/>
      </left>
      <right/>
      <top/>
      <bottom/>
      <diagonal/>
    </border>
    <border>
      <left style="thick">
        <color rgb="FFDE3163"/>
      </left>
      <right/>
      <top/>
      <bottom/>
      <diagonal/>
    </border>
    <border>
      <left style="thick">
        <color rgb="FF2A52BE"/>
      </left>
      <right/>
      <top/>
      <bottom/>
      <diagonal/>
    </border>
    <border>
      <left style="thick">
        <color rgb="FF6D9BC3"/>
      </left>
      <right/>
      <top/>
      <bottom/>
      <diagonal/>
    </border>
    <border>
      <left style="thick">
        <color rgb="FF1DACD6"/>
      </left>
      <right/>
      <top/>
      <bottom/>
      <diagonal/>
    </border>
    <border>
      <left style="thick">
        <color rgb="FF007AA5"/>
      </left>
      <right/>
      <top/>
      <bottom/>
      <diagonal/>
    </border>
    <border>
      <left style="thick">
        <color rgb="FFE03C31"/>
      </left>
      <right/>
      <top/>
      <bottom/>
      <diagonal/>
    </border>
    <border>
      <left style="thick">
        <color rgb="FFF7E7CE"/>
      </left>
      <right/>
      <top/>
      <bottom/>
      <diagonal/>
    </border>
    <border>
      <left style="thick">
        <color rgb="FFF1DDCF"/>
      </left>
      <right/>
      <top/>
      <bottom/>
      <diagonal/>
    </border>
    <border>
      <left style="thick">
        <color rgb="FF36454F"/>
      </left>
      <right/>
      <top/>
      <bottom/>
      <diagonal/>
    </border>
    <border>
      <left style="thick">
        <color rgb="FF232B2B"/>
      </left>
      <right/>
      <top/>
      <bottom/>
      <diagonal/>
    </border>
    <border>
      <left style="thick">
        <color rgb="FFE68FAC"/>
      </left>
      <right/>
      <top/>
      <bottom/>
      <diagonal/>
    </border>
    <border>
      <left style="thick">
        <color rgb="FFDFFF00"/>
      </left>
      <right/>
      <top/>
      <bottom/>
      <diagonal/>
    </border>
    <border>
      <left style="thick">
        <color rgb="FF7FFF00"/>
      </left>
      <right/>
      <top/>
      <bottom/>
      <diagonal/>
    </border>
    <border>
      <left style="thick">
        <color rgb="FFFFB7C5"/>
      </left>
      <right/>
      <top/>
      <bottom/>
      <diagonal/>
    </border>
    <border>
      <left style="thick">
        <color rgb="FF954535"/>
      </left>
      <right/>
      <top/>
      <bottom/>
      <diagonal/>
    </border>
    <border>
      <left style="thick">
        <color rgb="FFE23D28"/>
      </left>
      <right/>
      <top/>
      <bottom/>
      <diagonal/>
    </border>
    <border>
      <left style="thick">
        <color rgb="FFDE6FA1"/>
      </left>
      <right/>
      <top/>
      <bottom/>
      <diagonal/>
    </border>
    <border>
      <left style="thick">
        <color rgb="FFA8516E"/>
      </left>
      <right/>
      <top/>
      <bottom/>
      <diagonal/>
    </border>
    <border>
      <left style="thick">
        <color rgb="FFAA381E"/>
      </left>
      <right/>
      <top/>
      <bottom/>
      <diagonal/>
    </border>
    <border>
      <left style="thick">
        <color rgb="FF856088"/>
      </left>
      <right/>
      <top/>
      <bottom/>
      <diagonal/>
    </border>
    <border>
      <left style="thick">
        <color rgb="FFFFB200"/>
      </left>
      <right/>
      <top/>
      <bottom/>
      <diagonal/>
    </border>
    <border>
      <left style="thick">
        <color rgb="FF7B3F00"/>
      </left>
      <right/>
      <top/>
      <bottom/>
      <diagonal/>
    </border>
    <border>
      <left style="thick">
        <color rgb="FFD2691E"/>
      </left>
      <right/>
      <top/>
      <bottom/>
      <diagonal/>
    </border>
    <border>
      <left style="thick">
        <color rgb="FF58111A"/>
      </left>
      <right/>
      <top/>
      <bottom/>
      <diagonal/>
    </border>
    <border>
      <left style="thick">
        <color rgb="FFFFA700"/>
      </left>
      <right/>
      <top/>
      <bottom/>
      <diagonal/>
    </border>
    <border>
      <left style="thick">
        <color rgb="FF98817B"/>
      </left>
      <right/>
      <top/>
      <bottom/>
      <diagonal/>
    </border>
    <border>
      <left style="thick">
        <color rgb="FFE34234"/>
      </left>
      <right/>
      <top/>
      <bottom/>
      <diagonal/>
    </border>
    <border>
      <left style="thick">
        <color rgb="FFCD607E"/>
      </left>
      <right/>
      <top/>
      <bottom/>
      <diagonal/>
    </border>
    <border>
      <left style="thick">
        <color rgb="FFE4D00A"/>
      </left>
      <right/>
      <top/>
      <bottom/>
      <diagonal/>
    </border>
    <border>
      <left style="thick">
        <color rgb="FF9EA91F"/>
      </left>
      <right/>
      <top/>
      <bottom/>
      <diagonal/>
    </border>
    <border>
      <left style="thick">
        <color rgb="FF7F1734"/>
      </left>
      <right/>
      <top/>
      <bottom/>
      <diagonal/>
    </border>
    <border>
      <left style="thick">
        <color rgb="FF0047AB"/>
      </left>
      <right/>
      <top/>
      <bottom/>
      <diagonal/>
    </border>
    <border>
      <left style="thick">
        <color rgb="FF6F4E37"/>
      </left>
      <right/>
      <top/>
      <bottom/>
      <diagonal/>
    </border>
    <border>
      <left style="thick">
        <color rgb="FFB9D9EB"/>
      </left>
      <right/>
      <top/>
      <bottom/>
      <diagonal/>
    </border>
    <border>
      <left style="thick">
        <color rgb="FFF88379"/>
      </left>
      <right/>
      <top/>
      <bottom/>
      <diagonal/>
    </border>
    <border>
      <left style="thick">
        <color rgb="FF8C92AC"/>
      </left>
      <right/>
      <top/>
      <bottom/>
      <diagonal/>
    </border>
    <border>
      <left style="thick">
        <color rgb="FFB87333"/>
      </left>
      <right/>
      <top/>
      <bottom/>
      <diagonal/>
    </border>
    <border>
      <left style="thick">
        <color rgb="FFDA8A67"/>
      </left>
      <right/>
      <top/>
      <bottom/>
      <diagonal/>
    </border>
    <border>
      <left style="thick">
        <color rgb="FFAD6F69"/>
      </left>
      <right/>
      <top/>
      <bottom/>
      <diagonal/>
    </border>
    <border>
      <left style="thick">
        <color rgb="FFCB6D51"/>
      </left>
      <right/>
      <top/>
      <bottom/>
      <diagonal/>
    </border>
    <border>
      <left style="thick">
        <color rgb="FF996666"/>
      </left>
      <right/>
      <top/>
      <bottom/>
      <diagonal/>
    </border>
    <border>
      <left style="thick">
        <color rgb="FFFF3800"/>
      </left>
      <right/>
      <top/>
      <bottom/>
      <diagonal/>
    </border>
    <border>
      <left style="thick">
        <color rgb="FFFF7F50"/>
      </left>
      <right/>
      <top/>
      <bottom/>
      <diagonal/>
    </border>
    <border>
      <left style="thick">
        <color rgb="FF893F45"/>
      </left>
      <right/>
      <top/>
      <bottom/>
      <diagonal/>
    </border>
    <border>
      <left style="thick">
        <color rgb="FFFBEC5D"/>
      </left>
      <right/>
      <top/>
      <bottom/>
      <diagonal/>
    </border>
    <border>
      <left style="thick">
        <color rgb="FF6495ED"/>
      </left>
      <right/>
      <top/>
      <bottom/>
      <diagonal/>
    </border>
    <border>
      <left style="thick">
        <color rgb="FFFFF8DC"/>
      </left>
      <right/>
      <top/>
      <bottom/>
      <diagonal/>
    </border>
    <border>
      <left style="thick">
        <color rgb="FF2E2D88"/>
      </left>
      <right/>
      <top/>
      <bottom/>
      <diagonal/>
    </border>
    <border>
      <left style="thick">
        <color rgb="FFFFF8E7"/>
      </left>
      <right/>
      <top/>
      <bottom/>
      <diagonal/>
    </border>
    <border>
      <left style="thick">
        <color rgb="FF81613C"/>
      </left>
      <right/>
      <top/>
      <bottom/>
      <diagonal/>
    </border>
    <border>
      <left style="thick">
        <color rgb="FFFFBCD9"/>
      </left>
      <right/>
      <top/>
      <bottom/>
      <diagonal/>
    </border>
    <border>
      <left style="thick">
        <color rgb="FFFFFDD0"/>
      </left>
      <right/>
      <top/>
      <bottom/>
      <diagonal/>
    </border>
    <border>
      <left style="thick">
        <color rgb="FFDC143C"/>
      </left>
      <right/>
      <top/>
      <bottom/>
      <diagonal/>
    </border>
    <border>
      <left style="thick">
        <color rgb="FF9E1B32"/>
      </left>
      <right/>
      <top/>
      <bottom/>
      <diagonal/>
    </border>
    <border>
      <left style="thick">
        <color rgb="FFA7D8DE"/>
      </left>
      <right/>
      <top/>
      <bottom/>
      <diagonal/>
    </border>
    <border>
      <left style="thick">
        <color rgb="FFF5F5F5"/>
      </left>
      <right/>
      <top/>
      <bottom/>
      <diagonal/>
    </border>
    <border>
      <left style="thick">
        <color rgb="FF00B7EB"/>
      </left>
      <right/>
      <top/>
      <bottom/>
      <diagonal/>
    </border>
    <border>
      <left style="thick">
        <color rgb="FF58427C"/>
      </left>
      <right/>
      <top/>
      <bottom/>
      <diagonal/>
    </border>
    <border>
      <left style="thick">
        <color rgb="FFFFD300"/>
      </left>
      <right/>
      <top/>
      <bottom/>
      <diagonal/>
    </border>
    <border>
      <left style="thick">
        <color rgb="FFF56FA1"/>
      </left>
      <right/>
      <top/>
      <bottom/>
      <diagonal/>
    </border>
    <border>
      <left style="thick">
        <color rgb="FF666699"/>
      </left>
      <right/>
      <top/>
      <bottom/>
      <diagonal/>
    </border>
    <border>
      <left style="thick">
        <color rgb="FF654321"/>
      </left>
      <right/>
      <top/>
      <bottom/>
      <diagonal/>
    </border>
    <border>
      <left style="thick">
        <color rgb="FF5D3954"/>
      </left>
      <right/>
      <top/>
      <bottom/>
      <diagonal/>
    </border>
    <border>
      <left style="thick">
        <color rgb="FF26428B"/>
      </left>
      <right/>
      <top/>
      <bottom/>
      <diagonal/>
    </border>
    <border>
      <left style="thick">
        <color rgb="FF008B8B"/>
      </left>
      <right/>
      <top/>
      <bottom/>
      <diagonal/>
    </border>
    <border>
      <left style="thick">
        <color rgb="FF536878"/>
      </left>
      <right/>
      <top/>
      <bottom/>
      <diagonal/>
    </border>
    <border>
      <left style="thick">
        <color rgb="FFB8860B"/>
      </left>
      <right/>
      <top/>
      <bottom/>
      <diagonal/>
    </border>
    <border>
      <left style="thick">
        <color rgb="FF013220"/>
      </left>
      <right/>
      <top/>
      <bottom/>
      <diagonal/>
    </border>
    <border>
      <left style="thick">
        <color rgb="FF006400"/>
      </left>
      <right/>
      <top/>
      <bottom/>
      <diagonal/>
    </border>
    <border>
      <left style="thick">
        <color rgb="FF1A2421"/>
      </left>
      <right/>
      <top/>
      <bottom/>
      <diagonal/>
    </border>
    <border>
      <left style="thick">
        <color rgb="FFBDB76B"/>
      </left>
      <right/>
      <top/>
      <bottom/>
      <diagonal/>
    </border>
    <border>
      <left style="thick">
        <color rgb="FF483C32"/>
      </left>
      <right/>
      <top/>
      <bottom/>
      <diagonal/>
    </border>
    <border>
      <left style="thick">
        <color rgb="FF534B4F"/>
      </left>
      <right/>
      <top/>
      <bottom/>
      <diagonal/>
    </border>
    <border>
      <left style="thick">
        <color rgb="FF543D37"/>
      </left>
      <right/>
      <top/>
      <bottom/>
      <diagonal/>
    </border>
    <border>
      <left style="thick">
        <color rgb="FF8B008B"/>
      </left>
      <right/>
      <top/>
      <bottom/>
      <diagonal/>
    </border>
    <border>
      <left style="thick">
        <color rgb="FF4A5D23"/>
      </left>
      <right/>
      <top/>
      <bottom/>
      <diagonal/>
    </border>
    <border>
      <left style="thick">
        <color rgb="FF556B2F"/>
      </left>
      <right/>
      <top/>
      <bottom/>
      <diagonal/>
    </border>
    <border>
      <left style="thick">
        <color rgb="FFFF8C00"/>
      </left>
      <right/>
      <top/>
      <bottom/>
      <diagonal/>
    </border>
    <border>
      <left style="thick">
        <color rgb="FF9932CC"/>
      </left>
      <right/>
      <top/>
      <bottom/>
      <diagonal/>
    </border>
    <border>
      <left style="thick">
        <color rgb="FF03C03C"/>
      </left>
      <right/>
      <top/>
      <bottom/>
      <diagonal/>
    </border>
    <border>
      <left style="thick">
        <color rgb="FF301934"/>
      </left>
      <right/>
      <top/>
      <bottom/>
      <diagonal/>
    </border>
    <border>
      <left style="thick">
        <color rgb="FF8B0000"/>
      </left>
      <right/>
      <top/>
      <bottom/>
      <diagonal/>
    </border>
    <border>
      <left style="thick">
        <color rgb="FFE9967A"/>
      </left>
      <right/>
      <top/>
      <bottom/>
      <diagonal/>
    </border>
    <border>
      <left style="thick">
        <color rgb="FF8FBC8F"/>
      </left>
      <right/>
      <top/>
      <bottom/>
      <diagonal/>
    </border>
    <border>
      <left style="thick">
        <color rgb="FF3C1414"/>
      </left>
      <right/>
      <top/>
      <bottom/>
      <diagonal/>
    </border>
    <border>
      <left style="thick">
        <color rgb="FF8CBED6"/>
      </left>
      <right/>
      <top/>
      <bottom/>
      <diagonal/>
    </border>
    <border>
      <left style="thick">
        <color rgb="FF483D8B"/>
      </left>
      <right/>
      <top/>
      <bottom/>
      <diagonal/>
    </border>
    <border>
      <left style="thick">
        <color rgb="FF2F4F4F"/>
      </left>
      <right/>
      <top/>
      <bottom/>
      <diagonal/>
    </border>
    <border>
      <left style="thick">
        <color rgb="FF177245"/>
      </left>
      <right/>
      <top/>
      <bottom/>
      <diagonal/>
    </border>
    <border>
      <left style="thick">
        <color rgb="FF00CED1"/>
      </left>
      <right/>
      <top/>
      <bottom/>
      <diagonal/>
    </border>
    <border>
      <left style="thick">
        <color rgb="FF9400D3"/>
      </left>
      <right/>
      <top/>
      <bottom/>
      <diagonal/>
    </border>
    <border>
      <left style="thick">
        <color rgb="FF00703C"/>
      </left>
      <right/>
      <top/>
      <bottom/>
      <diagonal/>
    </border>
    <border>
      <left style="thick">
        <color rgb="FF555555"/>
      </left>
      <right/>
      <top/>
      <bottom/>
      <diagonal/>
    </border>
    <border>
      <left style="thick">
        <color rgb="FFDA3287"/>
      </left>
      <right/>
      <top/>
      <bottom/>
      <diagonal/>
    </border>
    <border>
      <left style="thick">
        <color rgb="FFFAD6A5"/>
      </left>
      <right/>
      <top/>
      <bottom/>
      <diagonal/>
    </border>
    <border>
      <left style="thick">
        <color rgb="FFB94E48"/>
      </left>
      <right/>
      <top/>
      <bottom/>
      <diagonal/>
    </border>
    <border>
      <left style="thick">
        <color rgb="FF004B49"/>
      </left>
      <right/>
      <top/>
      <bottom/>
      <diagonal/>
    </border>
    <border>
      <left style="thick">
        <color rgb="FFFF1493"/>
      </left>
      <right/>
      <top/>
      <bottom/>
      <diagonal/>
    </border>
    <border>
      <left style="thick">
        <color rgb="FFFF9933"/>
      </left>
      <right/>
      <top/>
      <bottom/>
      <diagonal/>
    </border>
    <border>
      <left style="thick">
        <color rgb="FF4A646C"/>
      </left>
      <right/>
      <top/>
      <bottom/>
      <diagonal/>
    </border>
    <border>
      <left style="thick">
        <color rgb="FF7E5E60"/>
      </left>
      <right/>
      <top/>
      <bottom/>
      <diagonal/>
    </border>
    <border>
      <left style="thick">
        <color rgb="FF1560BD"/>
      </left>
      <right/>
      <top/>
      <bottom/>
      <diagonal/>
    </border>
    <border>
      <left style="thick">
        <color rgb="FF2243B6"/>
      </left>
      <right/>
      <top/>
      <bottom/>
      <diagonal/>
    </border>
    <border>
      <left style="thick">
        <color rgb="FFEDC9AF"/>
      </left>
      <right/>
      <top/>
      <bottom/>
      <diagonal/>
    </border>
    <border>
      <left style="thick">
        <color rgb="FF696969"/>
      </left>
      <right/>
      <top/>
      <bottom/>
      <diagonal/>
    </border>
    <border>
      <left style="thick">
        <color rgb="FF1E90FF"/>
      </left>
      <right/>
      <top/>
      <bottom/>
      <diagonal/>
    </border>
    <border>
      <left style="thick">
        <color rgb="FFD71868"/>
      </left>
      <right/>
      <top/>
      <bottom/>
      <diagonal/>
    </border>
    <border>
      <left style="thick">
        <color rgb="FF00009C"/>
      </left>
      <right/>
      <top/>
      <bottom/>
      <diagonal/>
    </border>
    <border>
      <left style="thick">
        <color rgb="FFEFDFBB"/>
      </left>
      <right/>
      <top/>
      <bottom/>
      <diagonal/>
    </border>
    <border>
      <left style="thick">
        <color rgb="FFE1A95F"/>
      </left>
      <right/>
      <top/>
      <bottom/>
      <diagonal/>
    </border>
    <border>
      <left style="thick">
        <color rgb="FF555D50"/>
      </left>
      <right/>
      <top/>
      <bottom/>
      <diagonal/>
    </border>
    <border>
      <left style="thick">
        <color rgb="FFC2B280"/>
      </left>
      <right/>
      <top/>
      <bottom/>
      <diagonal/>
    </border>
    <border>
      <left style="thick">
        <color rgb="FF1B1B1B"/>
      </left>
      <right/>
      <top/>
      <bottom/>
      <diagonal/>
    </border>
    <border>
      <left style="thick">
        <color rgb="FF614051"/>
      </left>
      <right/>
      <top/>
      <bottom/>
      <diagonal/>
    </border>
    <border>
      <left style="thick">
        <color rgb="FFF0EAD6"/>
      </left>
      <right/>
      <top/>
      <bottom/>
      <diagonal/>
    </border>
    <border>
      <left style="thick">
        <color rgb="FF1034A6"/>
      </left>
      <right/>
      <top/>
      <bottom/>
      <diagonal/>
    </border>
    <border>
      <left style="thick">
        <color rgb="FF16161D"/>
      </left>
      <right/>
      <top/>
      <bottom/>
      <diagonal/>
    </border>
    <border>
      <left style="thick">
        <color rgb="FF7DF9FF"/>
      </left>
      <right/>
      <top/>
      <bottom/>
      <diagonal/>
    </border>
    <border>
      <left style="thick">
        <color rgb="FF00FF00"/>
      </left>
      <right/>
      <top/>
      <bottom/>
      <diagonal/>
    </border>
    <border>
      <left style="thick">
        <color rgb="FF6F00FF"/>
      </left>
      <right/>
      <top/>
      <bottom/>
      <diagonal/>
    </border>
    <border>
      <left style="thick">
        <color rgb="FFCCFF00"/>
      </left>
      <right/>
      <top/>
      <bottom/>
      <diagonal/>
    </border>
    <border>
      <left style="thick">
        <color rgb="FFBF00FF"/>
      </left>
      <right/>
      <top/>
      <bottom/>
      <diagonal/>
    </border>
    <border>
      <left style="thick">
        <color rgb="FF8F00FF"/>
      </left>
      <right/>
      <top/>
      <bottom/>
      <diagonal/>
    </border>
    <border>
      <left style="thick">
        <color rgb="FF50C878"/>
      </left>
      <right/>
      <top/>
      <bottom/>
      <diagonal/>
    </border>
    <border>
      <left style="thick">
        <color rgb="FF6C3082"/>
      </left>
      <right/>
      <top/>
      <bottom/>
      <diagonal/>
    </border>
    <border>
      <left style="thick">
        <color rgb="FFB48395"/>
      </left>
      <right/>
      <top/>
      <bottom/>
      <diagonal/>
    </border>
    <border>
      <left style="thick">
        <color rgb="FFAB4B52"/>
      </left>
      <right/>
      <top/>
      <bottom/>
      <diagonal/>
    </border>
    <border>
      <left style="thick">
        <color rgb="FFCC474B"/>
      </left>
      <right/>
      <top/>
      <bottom/>
      <diagonal/>
    </border>
    <border>
      <left style="thick">
        <color rgb="FF563C5C"/>
      </left>
      <right/>
      <top/>
      <bottom/>
      <diagonal/>
    </border>
    <border>
      <left style="thick">
        <color rgb="FF00FF40"/>
      </left>
      <right/>
      <top/>
      <bottom/>
      <diagonal/>
    </border>
    <border>
      <left style="thick">
        <color rgb="FF96C8A2"/>
      </left>
      <right/>
      <top/>
      <bottom/>
      <diagonal/>
    </border>
    <border>
      <left style="thick">
        <color rgb="FF801818"/>
      </left>
      <right/>
      <top/>
      <bottom/>
      <diagonal/>
    </border>
    <border>
      <left style="thick">
        <color rgb="FFB53389"/>
      </left>
      <right/>
      <top/>
      <bottom/>
      <diagonal/>
    </border>
    <border>
      <left style="thick">
        <color rgb="FFDE5285"/>
      </left>
      <right/>
      <top/>
      <bottom/>
      <diagonal/>
    </border>
    <border>
      <left style="thick">
        <color rgb="FFF400A1"/>
      </left>
      <right/>
      <top/>
      <bottom/>
      <diagonal/>
    </border>
    <border>
      <left style="thick">
        <color rgb="FFE5AA70"/>
      </left>
      <right/>
      <top/>
      <bottom/>
      <diagonal/>
    </border>
    <border>
      <left style="thick">
        <color rgb="FF4D5D53"/>
      </left>
      <right/>
      <top/>
      <bottom/>
      <diagonal/>
    </border>
    <border>
      <left style="thick">
        <color rgb="FF4F7942"/>
      </left>
      <right/>
      <top/>
      <bottom/>
      <diagonal/>
    </border>
    <border>
      <left style="thick">
        <color rgb="FF6C541E"/>
      </left>
      <right/>
      <top/>
      <bottom/>
      <diagonal/>
    </border>
    <border>
      <left style="thick">
        <color rgb="FFFF5470"/>
      </left>
      <right/>
      <top/>
      <bottom/>
      <diagonal/>
    </border>
    <border>
      <left style="thick">
        <color rgb="FFB22222"/>
      </left>
      <right/>
      <top/>
      <bottom/>
      <diagonal/>
    </border>
    <border>
      <left style="thick">
        <color rgb="FFCE2029"/>
      </left>
      <right/>
      <top/>
      <bottom/>
      <diagonal/>
    </border>
    <border>
      <left style="thick">
        <color rgb="FFE95C4B"/>
      </left>
      <right/>
      <top/>
      <bottom/>
      <diagonal/>
    </border>
    <border>
      <left style="thick">
        <color rgb="FFE25822"/>
      </left>
      <right/>
      <top/>
      <bottom/>
      <diagonal/>
    </border>
    <border>
      <left style="thick">
        <color rgb="FFEEDC82"/>
      </left>
      <right/>
      <top/>
      <bottom/>
      <diagonal/>
    </border>
    <border>
      <left style="thick">
        <color rgb="FFA2006D"/>
      </left>
      <right/>
      <top/>
      <bottom/>
      <diagonal/>
    </border>
    <border>
      <left style="thick">
        <color rgb="FFFFFAF0"/>
      </left>
      <right/>
      <top/>
      <bottom/>
      <diagonal/>
    </border>
    <border>
      <left style="thick">
        <color rgb="FF15F4EE"/>
      </left>
      <right/>
      <top/>
      <bottom/>
      <diagonal/>
    </border>
    <border>
      <left style="thick">
        <color rgb="FF5FA777"/>
      </left>
      <right/>
      <top/>
      <bottom/>
      <diagonal/>
    </border>
    <border>
      <left style="thick">
        <color rgb="FF014421"/>
      </left>
      <right/>
      <top/>
      <bottom/>
      <diagonal/>
    </border>
    <border>
      <left style="thick">
        <color rgb="FF228B22"/>
      </left>
      <right/>
      <top/>
      <bottom/>
      <diagonal/>
    </border>
    <border>
      <left style="thick">
        <color rgb="FF856D4D"/>
      </left>
      <right/>
      <top/>
      <bottom/>
      <diagonal/>
    </border>
    <border>
      <left style="thick">
        <color rgb="FF0072BB"/>
      </left>
      <right/>
      <top/>
      <bottom/>
      <diagonal/>
    </border>
    <border>
      <left style="thick">
        <color rgb="FFFD3F92"/>
      </left>
      <right/>
      <top/>
      <bottom/>
      <diagonal/>
    </border>
    <border>
      <left style="thick">
        <color rgb="FF86608E"/>
      </left>
      <right/>
      <top/>
      <bottom/>
      <diagonal/>
    </border>
    <border>
      <left style="thick">
        <color rgb="FF9EFD38"/>
      </left>
      <right/>
      <top/>
      <bottom/>
      <diagonal/>
    </border>
    <border>
      <left style="thick">
        <color rgb="FFD473D4"/>
      </left>
      <right/>
      <top/>
      <bottom/>
      <diagonal/>
    </border>
    <border>
      <left style="thick">
        <color rgb="FFFD6C9E"/>
      </left>
      <right/>
      <top/>
      <bottom/>
      <diagonal/>
    </border>
    <border>
      <left style="thick">
        <color rgb="FFC72C48"/>
      </left>
      <right/>
      <top/>
      <bottom/>
      <diagonal/>
    </border>
    <border>
      <left style="thick">
        <color rgb="FFF64A8A"/>
      </left>
      <right/>
      <top/>
      <bottom/>
      <diagonal/>
    </border>
    <border>
      <left style="thick">
        <color rgb="FF77B5FE"/>
      </left>
      <right/>
      <top/>
      <bottom/>
      <diagonal/>
    </border>
    <border>
      <left style="thick">
        <color rgb="FF8806CE"/>
      </left>
      <right/>
      <top/>
      <bottom/>
      <diagonal/>
    </border>
    <border>
      <left style="thick">
        <color rgb="FFE936A7"/>
      </left>
      <right/>
      <top/>
      <bottom/>
      <diagonal/>
    </border>
    <border>
      <left style="thick">
        <color rgb="FFFF00FF"/>
      </left>
      <right/>
      <top/>
      <bottom/>
      <diagonal/>
    </border>
    <border>
      <left style="thick">
        <color rgb="FFC154C1"/>
      </left>
      <right/>
      <top/>
      <bottom/>
      <diagonal/>
    </border>
    <border>
      <left style="thick">
        <color rgb="FFCC397B"/>
      </left>
      <right/>
      <top/>
      <bottom/>
      <diagonal/>
    </border>
    <border>
      <left style="thick">
        <color rgb="FFC74375"/>
      </left>
      <right/>
      <top/>
      <bottom/>
      <diagonal/>
    </border>
    <border>
      <left style="thick">
        <color rgb="FFE48400"/>
      </left>
      <right/>
      <top/>
      <bottom/>
      <diagonal/>
    </border>
    <border>
      <left style="thick">
        <color rgb="FF87421F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0" borderId="0"/>
    <xf numFmtId="0" fontId="17" fillId="0" borderId="0"/>
  </cellStyleXfs>
  <cellXfs count="450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Fill="1"/>
    <xf numFmtId="0" fontId="0" fillId="0" borderId="1" xfId="0" applyBorder="1" applyAlignment="1">
      <alignment horizontal="center"/>
    </xf>
    <xf numFmtId="0" fontId="6" fillId="4" borderId="1" xfId="0" applyFont="1" applyFill="1" applyBorder="1" applyAlignment="1">
      <alignment vertical="center"/>
    </xf>
    <xf numFmtId="0" fontId="7" fillId="5" borderId="1" xfId="1" applyFont="1" applyFill="1" applyBorder="1" applyAlignment="1">
      <alignment horizontal="left" vertical="center"/>
    </xf>
    <xf numFmtId="0" fontId="7" fillId="5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9" fontId="10" fillId="4" borderId="0" xfId="0" applyNumberFormat="1" applyFont="1" applyFill="1" applyAlignment="1">
      <alignment horizontal="right" vertical="center"/>
    </xf>
    <xf numFmtId="9" fontId="10" fillId="4" borderId="4" xfId="0" applyNumberFormat="1" applyFont="1" applyFill="1" applyBorder="1" applyAlignment="1">
      <alignment horizontal="right" vertical="center"/>
    </xf>
    <xf numFmtId="0" fontId="10" fillId="4" borderId="3" xfId="0" applyFont="1" applyFill="1" applyBorder="1" applyAlignment="1">
      <alignment horizontal="right" vertical="center"/>
    </xf>
    <xf numFmtId="0" fontId="4" fillId="5" borderId="6" xfId="1" applyFont="1" applyFill="1" applyBorder="1" applyAlignment="1">
      <alignment horizontal="left" vertical="center"/>
    </xf>
    <xf numFmtId="0" fontId="4" fillId="5" borderId="7" xfId="1" applyFont="1" applyFill="1" applyBorder="1" applyAlignment="1">
      <alignment horizontal="left" vertical="center"/>
    </xf>
    <xf numFmtId="0" fontId="4" fillId="5" borderId="8" xfId="1" applyFont="1" applyFill="1" applyBorder="1" applyAlignment="1">
      <alignment horizontal="left" vertical="center"/>
    </xf>
    <xf numFmtId="10" fontId="10" fillId="4" borderId="0" xfId="0" applyNumberFormat="1" applyFont="1" applyFill="1" applyAlignment="1">
      <alignment horizontal="right" vertical="center"/>
    </xf>
    <xf numFmtId="0" fontId="4" fillId="5" borderId="9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left" vertical="center"/>
    </xf>
    <xf numFmtId="0" fontId="4" fillId="5" borderId="11" xfId="1" applyFont="1" applyFill="1" applyBorder="1" applyAlignment="1">
      <alignment horizontal="left" vertical="center"/>
    </xf>
    <xf numFmtId="0" fontId="4" fillId="5" borderId="12" xfId="1" applyFont="1" applyFill="1" applyBorder="1" applyAlignment="1">
      <alignment horizontal="left" vertical="center"/>
    </xf>
    <xf numFmtId="0" fontId="4" fillId="5" borderId="13" xfId="1" applyFont="1" applyFill="1" applyBorder="1" applyAlignment="1">
      <alignment horizontal="left" vertical="center"/>
    </xf>
    <xf numFmtId="0" fontId="4" fillId="5" borderId="14" xfId="1" applyFont="1" applyFill="1" applyBorder="1" applyAlignment="1">
      <alignment horizontal="left" vertical="center"/>
    </xf>
    <xf numFmtId="0" fontId="4" fillId="5" borderId="15" xfId="1" applyFont="1" applyFill="1" applyBorder="1" applyAlignment="1">
      <alignment horizontal="left" vertical="center"/>
    </xf>
    <xf numFmtId="0" fontId="4" fillId="5" borderId="16" xfId="1" applyFont="1" applyFill="1" applyBorder="1" applyAlignment="1">
      <alignment horizontal="left" vertical="center"/>
    </xf>
    <xf numFmtId="0" fontId="4" fillId="5" borderId="17" xfId="1" applyFont="1" applyFill="1" applyBorder="1" applyAlignment="1">
      <alignment horizontal="left" vertical="center"/>
    </xf>
    <xf numFmtId="0" fontId="4" fillId="5" borderId="18" xfId="1" applyFont="1" applyFill="1" applyBorder="1" applyAlignment="1">
      <alignment horizontal="left" vertical="center"/>
    </xf>
    <xf numFmtId="0" fontId="4" fillId="5" borderId="19" xfId="1" applyFont="1" applyFill="1" applyBorder="1" applyAlignment="1">
      <alignment horizontal="left" vertical="center"/>
    </xf>
    <xf numFmtId="0" fontId="4" fillId="5" borderId="20" xfId="1" applyFont="1" applyFill="1" applyBorder="1" applyAlignment="1">
      <alignment horizontal="left" vertical="center"/>
    </xf>
    <xf numFmtId="0" fontId="4" fillId="5" borderId="21" xfId="1" applyFont="1" applyFill="1" applyBorder="1" applyAlignment="1">
      <alignment horizontal="left" vertical="center"/>
    </xf>
    <xf numFmtId="0" fontId="4" fillId="5" borderId="22" xfId="1" applyFont="1" applyFill="1" applyBorder="1" applyAlignment="1">
      <alignment horizontal="left" vertical="center"/>
    </xf>
    <xf numFmtId="0" fontId="4" fillId="5" borderId="23" xfId="1" applyFont="1" applyFill="1" applyBorder="1" applyAlignment="1">
      <alignment horizontal="left" vertical="center"/>
    </xf>
    <xf numFmtId="0" fontId="4" fillId="5" borderId="24" xfId="1" applyFont="1" applyFill="1" applyBorder="1" applyAlignment="1">
      <alignment horizontal="left" vertical="center"/>
    </xf>
    <xf numFmtId="0" fontId="4" fillId="5" borderId="25" xfId="1" applyFont="1" applyFill="1" applyBorder="1" applyAlignment="1">
      <alignment horizontal="left" vertical="center"/>
    </xf>
    <xf numFmtId="0" fontId="4" fillId="5" borderId="26" xfId="1" applyFont="1" applyFill="1" applyBorder="1" applyAlignment="1">
      <alignment horizontal="left" vertical="center"/>
    </xf>
    <xf numFmtId="0" fontId="4" fillId="5" borderId="27" xfId="1" applyFont="1" applyFill="1" applyBorder="1" applyAlignment="1">
      <alignment horizontal="left" vertical="center"/>
    </xf>
    <xf numFmtId="0" fontId="4" fillId="5" borderId="28" xfId="1" applyFont="1" applyFill="1" applyBorder="1" applyAlignment="1">
      <alignment horizontal="left" vertical="center"/>
    </xf>
    <xf numFmtId="0" fontId="4" fillId="5" borderId="29" xfId="1" applyFont="1" applyFill="1" applyBorder="1" applyAlignment="1">
      <alignment horizontal="left" vertical="center"/>
    </xf>
    <xf numFmtId="0" fontId="4" fillId="5" borderId="30" xfId="1" applyFont="1" applyFill="1" applyBorder="1" applyAlignment="1">
      <alignment horizontal="left" vertical="center"/>
    </xf>
    <xf numFmtId="0" fontId="4" fillId="5" borderId="31" xfId="1" applyFont="1" applyFill="1" applyBorder="1" applyAlignment="1">
      <alignment horizontal="left" vertical="center"/>
    </xf>
    <xf numFmtId="0" fontId="4" fillId="5" borderId="32" xfId="1" applyFont="1" applyFill="1" applyBorder="1" applyAlignment="1">
      <alignment horizontal="left" vertical="center"/>
    </xf>
    <xf numFmtId="0" fontId="4" fillId="5" borderId="33" xfId="1" applyFont="1" applyFill="1" applyBorder="1" applyAlignment="1">
      <alignment horizontal="left" vertical="center"/>
    </xf>
    <xf numFmtId="0" fontId="4" fillId="5" borderId="34" xfId="1" applyFont="1" applyFill="1" applyBorder="1" applyAlignment="1">
      <alignment horizontal="left" vertical="center"/>
    </xf>
    <xf numFmtId="0" fontId="4" fillId="5" borderId="35" xfId="1" applyFont="1" applyFill="1" applyBorder="1" applyAlignment="1">
      <alignment horizontal="left" vertical="center"/>
    </xf>
    <xf numFmtId="0" fontId="4" fillId="5" borderId="36" xfId="1" applyFont="1" applyFill="1" applyBorder="1" applyAlignment="1">
      <alignment horizontal="left" vertical="center"/>
    </xf>
    <xf numFmtId="0" fontId="4" fillId="5" borderId="37" xfId="1" applyFont="1" applyFill="1" applyBorder="1" applyAlignment="1">
      <alignment horizontal="left" vertical="center"/>
    </xf>
    <xf numFmtId="0" fontId="4" fillId="5" borderId="38" xfId="1" applyFont="1" applyFill="1" applyBorder="1" applyAlignment="1">
      <alignment horizontal="left" vertical="center"/>
    </xf>
    <xf numFmtId="0" fontId="4" fillId="5" borderId="39" xfId="1" applyFont="1" applyFill="1" applyBorder="1" applyAlignment="1">
      <alignment horizontal="left" vertical="center"/>
    </xf>
    <xf numFmtId="0" fontId="4" fillId="5" borderId="40" xfId="1" applyFont="1" applyFill="1" applyBorder="1" applyAlignment="1">
      <alignment horizontal="left" vertical="center"/>
    </xf>
    <xf numFmtId="0" fontId="4" fillId="5" borderId="41" xfId="1" applyFont="1" applyFill="1" applyBorder="1" applyAlignment="1">
      <alignment horizontal="left" vertical="center"/>
    </xf>
    <xf numFmtId="0" fontId="4" fillId="5" borderId="42" xfId="1" applyFont="1" applyFill="1" applyBorder="1" applyAlignment="1">
      <alignment horizontal="left" vertical="center"/>
    </xf>
    <xf numFmtId="0" fontId="4" fillId="5" borderId="43" xfId="1" applyFont="1" applyFill="1" applyBorder="1" applyAlignment="1">
      <alignment horizontal="left" vertical="center"/>
    </xf>
    <xf numFmtId="0" fontId="4" fillId="5" borderId="44" xfId="1" applyFont="1" applyFill="1" applyBorder="1" applyAlignment="1">
      <alignment horizontal="left" vertical="center"/>
    </xf>
    <xf numFmtId="0" fontId="4" fillId="5" borderId="45" xfId="1" applyFont="1" applyFill="1" applyBorder="1" applyAlignment="1">
      <alignment horizontal="left" vertical="center"/>
    </xf>
    <xf numFmtId="0" fontId="4" fillId="5" borderId="46" xfId="1" applyFont="1" applyFill="1" applyBorder="1" applyAlignment="1">
      <alignment horizontal="left" vertical="center"/>
    </xf>
    <xf numFmtId="0" fontId="4" fillId="5" borderId="47" xfId="1" applyFont="1" applyFill="1" applyBorder="1" applyAlignment="1">
      <alignment horizontal="left" vertical="center"/>
    </xf>
    <xf numFmtId="0" fontId="4" fillId="5" borderId="48" xfId="1" applyFont="1" applyFill="1" applyBorder="1" applyAlignment="1">
      <alignment horizontal="left" vertical="center"/>
    </xf>
    <xf numFmtId="0" fontId="4" fillId="5" borderId="49" xfId="1" applyFont="1" applyFill="1" applyBorder="1" applyAlignment="1">
      <alignment horizontal="left" vertical="center"/>
    </xf>
    <xf numFmtId="0" fontId="4" fillId="5" borderId="50" xfId="1" applyFont="1" applyFill="1" applyBorder="1" applyAlignment="1">
      <alignment horizontal="left" vertical="center"/>
    </xf>
    <xf numFmtId="0" fontId="4" fillId="5" borderId="51" xfId="1" applyFont="1" applyFill="1" applyBorder="1" applyAlignment="1">
      <alignment horizontal="left" vertical="center"/>
    </xf>
    <xf numFmtId="0" fontId="4" fillId="5" borderId="52" xfId="1" applyFont="1" applyFill="1" applyBorder="1" applyAlignment="1">
      <alignment horizontal="left" vertical="center"/>
    </xf>
    <xf numFmtId="0" fontId="4" fillId="5" borderId="53" xfId="1" applyFont="1" applyFill="1" applyBorder="1" applyAlignment="1">
      <alignment horizontal="left" vertical="center"/>
    </xf>
    <xf numFmtId="0" fontId="4" fillId="5" borderId="54" xfId="1" applyFont="1" applyFill="1" applyBorder="1" applyAlignment="1">
      <alignment horizontal="left" vertical="center"/>
    </xf>
    <xf numFmtId="0" fontId="4" fillId="5" borderId="55" xfId="1" applyFont="1" applyFill="1" applyBorder="1" applyAlignment="1">
      <alignment horizontal="left" vertical="center"/>
    </xf>
    <xf numFmtId="0" fontId="4" fillId="5" borderId="56" xfId="1" applyFont="1" applyFill="1" applyBorder="1" applyAlignment="1">
      <alignment horizontal="left" vertical="center"/>
    </xf>
    <xf numFmtId="0" fontId="4" fillId="5" borderId="57" xfId="1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/>
    </xf>
    <xf numFmtId="0" fontId="4" fillId="5" borderId="59" xfId="1" applyFont="1" applyFill="1" applyBorder="1" applyAlignment="1">
      <alignment horizontal="left" vertical="center"/>
    </xf>
    <xf numFmtId="0" fontId="4" fillId="5" borderId="60" xfId="1" applyFont="1" applyFill="1" applyBorder="1" applyAlignment="1">
      <alignment horizontal="left" vertical="center"/>
    </xf>
    <xf numFmtId="0" fontId="4" fillId="5" borderId="61" xfId="1" applyFont="1" applyFill="1" applyBorder="1" applyAlignment="1">
      <alignment horizontal="left" vertical="center"/>
    </xf>
    <xf numFmtId="0" fontId="4" fillId="5" borderId="62" xfId="1" applyFont="1" applyFill="1" applyBorder="1" applyAlignment="1">
      <alignment horizontal="left" vertical="center"/>
    </xf>
    <xf numFmtId="0" fontId="4" fillId="5" borderId="63" xfId="1" applyFont="1" applyFill="1" applyBorder="1" applyAlignment="1">
      <alignment horizontal="left" vertical="center"/>
    </xf>
    <xf numFmtId="0" fontId="4" fillId="5" borderId="64" xfId="1" applyFont="1" applyFill="1" applyBorder="1" applyAlignment="1">
      <alignment horizontal="left" vertical="center"/>
    </xf>
    <xf numFmtId="0" fontId="4" fillId="5" borderId="65" xfId="1" applyFont="1" applyFill="1" applyBorder="1" applyAlignment="1">
      <alignment horizontal="left" vertical="center"/>
    </xf>
    <xf numFmtId="0" fontId="4" fillId="5" borderId="66" xfId="1" applyFont="1" applyFill="1" applyBorder="1" applyAlignment="1">
      <alignment horizontal="left" vertical="center"/>
    </xf>
    <xf numFmtId="0" fontId="4" fillId="5" borderId="67" xfId="1" applyFont="1" applyFill="1" applyBorder="1" applyAlignment="1">
      <alignment horizontal="left" vertical="center"/>
    </xf>
    <xf numFmtId="0" fontId="4" fillId="5" borderId="68" xfId="1" applyFont="1" applyFill="1" applyBorder="1" applyAlignment="1">
      <alignment horizontal="left" vertical="center"/>
    </xf>
    <xf numFmtId="0" fontId="4" fillId="5" borderId="69" xfId="1" applyFont="1" applyFill="1" applyBorder="1" applyAlignment="1">
      <alignment horizontal="left" vertical="center"/>
    </xf>
    <xf numFmtId="0" fontId="4" fillId="5" borderId="70" xfId="1" applyFont="1" applyFill="1" applyBorder="1" applyAlignment="1">
      <alignment horizontal="left" vertical="center"/>
    </xf>
    <xf numFmtId="0" fontId="4" fillId="5" borderId="71" xfId="1" applyFont="1" applyFill="1" applyBorder="1" applyAlignment="1">
      <alignment horizontal="left" vertical="center"/>
    </xf>
    <xf numFmtId="0" fontId="4" fillId="5" borderId="72" xfId="1" applyFont="1" applyFill="1" applyBorder="1" applyAlignment="1">
      <alignment horizontal="left" vertical="center"/>
    </xf>
    <xf numFmtId="0" fontId="4" fillId="5" borderId="73" xfId="1" applyFont="1" applyFill="1" applyBorder="1" applyAlignment="1">
      <alignment horizontal="left" vertical="center"/>
    </xf>
    <xf numFmtId="0" fontId="4" fillId="5" borderId="74" xfId="1" applyFont="1" applyFill="1" applyBorder="1" applyAlignment="1">
      <alignment horizontal="left" vertical="center"/>
    </xf>
    <xf numFmtId="0" fontId="4" fillId="5" borderId="75" xfId="1" applyFont="1" applyFill="1" applyBorder="1" applyAlignment="1">
      <alignment horizontal="left" vertical="center"/>
    </xf>
    <xf numFmtId="0" fontId="4" fillId="5" borderId="76" xfId="1" applyFont="1" applyFill="1" applyBorder="1" applyAlignment="1">
      <alignment horizontal="left" vertical="center"/>
    </xf>
    <xf numFmtId="0" fontId="4" fillId="5" borderId="77" xfId="1" applyFont="1" applyFill="1" applyBorder="1" applyAlignment="1">
      <alignment horizontal="left" vertical="center"/>
    </xf>
    <xf numFmtId="0" fontId="4" fillId="5" borderId="78" xfId="1" applyFont="1" applyFill="1" applyBorder="1" applyAlignment="1">
      <alignment horizontal="left" vertical="center"/>
    </xf>
    <xf numFmtId="0" fontId="4" fillId="5" borderId="79" xfId="1" applyFont="1" applyFill="1" applyBorder="1" applyAlignment="1">
      <alignment horizontal="left" vertical="center"/>
    </xf>
    <xf numFmtId="0" fontId="4" fillId="5" borderId="80" xfId="1" applyFont="1" applyFill="1" applyBorder="1" applyAlignment="1">
      <alignment horizontal="left" vertical="center"/>
    </xf>
    <xf numFmtId="0" fontId="4" fillId="5" borderId="81" xfId="1" applyFont="1" applyFill="1" applyBorder="1" applyAlignment="1">
      <alignment horizontal="left" vertical="center"/>
    </xf>
    <xf numFmtId="0" fontId="4" fillId="5" borderId="82" xfId="1" applyFont="1" applyFill="1" applyBorder="1" applyAlignment="1">
      <alignment horizontal="left" vertical="center"/>
    </xf>
    <xf numFmtId="0" fontId="4" fillId="5" borderId="83" xfId="1" applyFont="1" applyFill="1" applyBorder="1" applyAlignment="1">
      <alignment horizontal="left" vertical="center"/>
    </xf>
    <xf numFmtId="0" fontId="4" fillId="5" borderId="84" xfId="1" applyFont="1" applyFill="1" applyBorder="1" applyAlignment="1">
      <alignment horizontal="left" vertical="center"/>
    </xf>
    <xf numFmtId="0" fontId="4" fillId="5" borderId="85" xfId="1" applyFont="1" applyFill="1" applyBorder="1" applyAlignment="1">
      <alignment horizontal="left" vertical="center"/>
    </xf>
    <xf numFmtId="0" fontId="4" fillId="5" borderId="86" xfId="1" applyFont="1" applyFill="1" applyBorder="1" applyAlignment="1">
      <alignment horizontal="left" vertical="center"/>
    </xf>
    <xf numFmtId="0" fontId="4" fillId="5" borderId="87" xfId="1" applyFont="1" applyFill="1" applyBorder="1" applyAlignment="1">
      <alignment horizontal="left" vertical="center"/>
    </xf>
    <xf numFmtId="0" fontId="4" fillId="5" borderId="88" xfId="1" applyFont="1" applyFill="1" applyBorder="1" applyAlignment="1">
      <alignment horizontal="left" vertical="center"/>
    </xf>
    <xf numFmtId="0" fontId="4" fillId="5" borderId="89" xfId="1" applyFont="1" applyFill="1" applyBorder="1" applyAlignment="1">
      <alignment horizontal="left" vertical="center"/>
    </xf>
    <xf numFmtId="0" fontId="4" fillId="5" borderId="90" xfId="1" applyFont="1" applyFill="1" applyBorder="1" applyAlignment="1">
      <alignment horizontal="left" vertical="center"/>
    </xf>
    <xf numFmtId="0" fontId="4" fillId="5" borderId="91" xfId="1" applyFont="1" applyFill="1" applyBorder="1" applyAlignment="1">
      <alignment horizontal="left" vertical="center"/>
    </xf>
    <xf numFmtId="0" fontId="4" fillId="5" borderId="92" xfId="1" applyFont="1" applyFill="1" applyBorder="1" applyAlignment="1">
      <alignment horizontal="left" vertical="center"/>
    </xf>
    <xf numFmtId="0" fontId="4" fillId="5" borderId="93" xfId="1" applyFont="1" applyFill="1" applyBorder="1" applyAlignment="1">
      <alignment horizontal="left" vertical="center"/>
    </xf>
    <xf numFmtId="0" fontId="4" fillId="5" borderId="94" xfId="1" applyFont="1" applyFill="1" applyBorder="1" applyAlignment="1">
      <alignment horizontal="left" vertical="center"/>
    </xf>
    <xf numFmtId="0" fontId="4" fillId="5" borderId="95" xfId="1" applyFont="1" applyFill="1" applyBorder="1" applyAlignment="1">
      <alignment horizontal="left" vertical="center"/>
    </xf>
    <xf numFmtId="0" fontId="4" fillId="5" borderId="96" xfId="1" applyFont="1" applyFill="1" applyBorder="1" applyAlignment="1">
      <alignment horizontal="left" vertical="center"/>
    </xf>
    <xf numFmtId="0" fontId="4" fillId="5" borderId="97" xfId="1" applyFont="1" applyFill="1" applyBorder="1" applyAlignment="1">
      <alignment horizontal="left" vertical="center"/>
    </xf>
    <xf numFmtId="0" fontId="4" fillId="5" borderId="98" xfId="1" applyFont="1" applyFill="1" applyBorder="1" applyAlignment="1">
      <alignment horizontal="left" vertical="center"/>
    </xf>
    <xf numFmtId="0" fontId="4" fillId="5" borderId="99" xfId="1" applyFont="1" applyFill="1" applyBorder="1" applyAlignment="1">
      <alignment horizontal="left" vertical="center"/>
    </xf>
    <xf numFmtId="0" fontId="4" fillId="5" borderId="100" xfId="1" applyFont="1" applyFill="1" applyBorder="1" applyAlignment="1">
      <alignment horizontal="left" vertical="center"/>
    </xf>
    <xf numFmtId="0" fontId="4" fillId="5" borderId="101" xfId="1" applyFont="1" applyFill="1" applyBorder="1" applyAlignment="1">
      <alignment horizontal="left" vertical="center"/>
    </xf>
    <xf numFmtId="0" fontId="4" fillId="5" borderId="102" xfId="1" applyFont="1" applyFill="1" applyBorder="1" applyAlignment="1">
      <alignment horizontal="left" vertical="center"/>
    </xf>
    <xf numFmtId="0" fontId="4" fillId="5" borderId="103" xfId="1" applyFont="1" applyFill="1" applyBorder="1" applyAlignment="1">
      <alignment horizontal="left" vertical="center"/>
    </xf>
    <xf numFmtId="0" fontId="4" fillId="5" borderId="104" xfId="1" applyFont="1" applyFill="1" applyBorder="1" applyAlignment="1">
      <alignment horizontal="left" vertical="center"/>
    </xf>
    <xf numFmtId="0" fontId="4" fillId="5" borderId="105" xfId="1" applyFont="1" applyFill="1" applyBorder="1" applyAlignment="1">
      <alignment horizontal="left" vertical="center"/>
    </xf>
    <xf numFmtId="0" fontId="4" fillId="5" borderId="106" xfId="1" applyFont="1" applyFill="1" applyBorder="1" applyAlignment="1">
      <alignment horizontal="left" vertical="center"/>
    </xf>
    <xf numFmtId="0" fontId="4" fillId="5" borderId="107" xfId="1" applyFont="1" applyFill="1" applyBorder="1" applyAlignment="1">
      <alignment horizontal="left" vertical="center"/>
    </xf>
    <xf numFmtId="0" fontId="4" fillId="5" borderId="108" xfId="1" applyFont="1" applyFill="1" applyBorder="1" applyAlignment="1">
      <alignment horizontal="left" vertical="center"/>
    </xf>
    <xf numFmtId="0" fontId="4" fillId="5" borderId="109" xfId="1" applyFont="1" applyFill="1" applyBorder="1" applyAlignment="1">
      <alignment horizontal="left" vertical="center"/>
    </xf>
    <xf numFmtId="0" fontId="4" fillId="5" borderId="110" xfId="1" applyFont="1" applyFill="1" applyBorder="1" applyAlignment="1">
      <alignment horizontal="left" vertical="center"/>
    </xf>
    <xf numFmtId="0" fontId="4" fillId="5" borderId="111" xfId="1" applyFont="1" applyFill="1" applyBorder="1" applyAlignment="1">
      <alignment horizontal="left" vertical="center"/>
    </xf>
    <xf numFmtId="0" fontId="4" fillId="5" borderId="112" xfId="1" applyFont="1" applyFill="1" applyBorder="1" applyAlignment="1">
      <alignment horizontal="left" vertical="center"/>
    </xf>
    <xf numFmtId="0" fontId="4" fillId="5" borderId="113" xfId="1" applyFont="1" applyFill="1" applyBorder="1" applyAlignment="1">
      <alignment horizontal="left" vertical="center"/>
    </xf>
    <xf numFmtId="0" fontId="4" fillId="5" borderId="114" xfId="1" applyFont="1" applyFill="1" applyBorder="1" applyAlignment="1">
      <alignment horizontal="left" vertical="center"/>
    </xf>
    <xf numFmtId="0" fontId="4" fillId="5" borderId="115" xfId="1" applyFont="1" applyFill="1" applyBorder="1" applyAlignment="1">
      <alignment horizontal="left" vertical="center"/>
    </xf>
    <xf numFmtId="0" fontId="4" fillId="5" borderId="116" xfId="1" applyFont="1" applyFill="1" applyBorder="1" applyAlignment="1">
      <alignment horizontal="left" vertical="center"/>
    </xf>
    <xf numFmtId="0" fontId="4" fillId="5" borderId="117" xfId="1" applyFont="1" applyFill="1" applyBorder="1" applyAlignment="1">
      <alignment horizontal="left" vertical="center"/>
    </xf>
    <xf numFmtId="0" fontId="4" fillId="5" borderId="118" xfId="1" applyFont="1" applyFill="1" applyBorder="1" applyAlignment="1">
      <alignment horizontal="left" vertical="center"/>
    </xf>
    <xf numFmtId="0" fontId="4" fillId="5" borderId="119" xfId="1" applyFont="1" applyFill="1" applyBorder="1" applyAlignment="1">
      <alignment horizontal="left" vertical="center"/>
    </xf>
    <xf numFmtId="0" fontId="4" fillId="5" borderId="120" xfId="1" applyFont="1" applyFill="1" applyBorder="1" applyAlignment="1">
      <alignment horizontal="left" vertical="center"/>
    </xf>
    <xf numFmtId="0" fontId="4" fillId="5" borderId="121" xfId="1" applyFont="1" applyFill="1" applyBorder="1" applyAlignment="1">
      <alignment horizontal="left" vertical="center"/>
    </xf>
    <xf numFmtId="0" fontId="4" fillId="5" borderId="122" xfId="1" applyFont="1" applyFill="1" applyBorder="1" applyAlignment="1">
      <alignment horizontal="left" vertical="center"/>
    </xf>
    <xf numFmtId="0" fontId="4" fillId="5" borderId="123" xfId="1" applyFont="1" applyFill="1" applyBorder="1" applyAlignment="1">
      <alignment horizontal="left" vertical="center"/>
    </xf>
    <xf numFmtId="0" fontId="4" fillId="5" borderId="124" xfId="1" applyFont="1" applyFill="1" applyBorder="1" applyAlignment="1">
      <alignment horizontal="left" vertical="center"/>
    </xf>
    <xf numFmtId="0" fontId="4" fillId="5" borderId="125" xfId="1" applyFont="1" applyFill="1" applyBorder="1" applyAlignment="1">
      <alignment horizontal="left" vertical="center"/>
    </xf>
    <xf numFmtId="0" fontId="4" fillId="5" borderId="126" xfId="1" applyFont="1" applyFill="1" applyBorder="1" applyAlignment="1">
      <alignment horizontal="left" vertical="center"/>
    </xf>
    <xf numFmtId="0" fontId="4" fillId="5" borderId="127" xfId="1" applyFont="1" applyFill="1" applyBorder="1" applyAlignment="1">
      <alignment horizontal="left" vertical="center"/>
    </xf>
    <xf numFmtId="0" fontId="4" fillId="5" borderId="128" xfId="1" applyFont="1" applyFill="1" applyBorder="1" applyAlignment="1">
      <alignment horizontal="left" vertical="center"/>
    </xf>
    <xf numFmtId="0" fontId="4" fillId="5" borderId="129" xfId="1" applyFont="1" applyFill="1" applyBorder="1" applyAlignment="1">
      <alignment horizontal="left" vertical="center"/>
    </xf>
    <xf numFmtId="0" fontId="4" fillId="5" borderId="130" xfId="1" applyFont="1" applyFill="1" applyBorder="1" applyAlignment="1">
      <alignment horizontal="left" vertical="center"/>
    </xf>
    <xf numFmtId="0" fontId="4" fillId="5" borderId="131" xfId="1" applyFont="1" applyFill="1" applyBorder="1" applyAlignment="1">
      <alignment horizontal="left" vertical="center"/>
    </xf>
    <xf numFmtId="0" fontId="4" fillId="5" borderId="132" xfId="1" applyFont="1" applyFill="1" applyBorder="1" applyAlignment="1">
      <alignment horizontal="left" vertical="center"/>
    </xf>
    <xf numFmtId="0" fontId="4" fillId="5" borderId="133" xfId="1" applyFont="1" applyFill="1" applyBorder="1" applyAlignment="1">
      <alignment horizontal="left" vertical="center"/>
    </xf>
    <xf numFmtId="0" fontId="4" fillId="5" borderId="134" xfId="1" applyFont="1" applyFill="1" applyBorder="1" applyAlignment="1">
      <alignment horizontal="left" vertical="center"/>
    </xf>
    <xf numFmtId="0" fontId="4" fillId="5" borderId="135" xfId="1" applyFont="1" applyFill="1" applyBorder="1" applyAlignment="1">
      <alignment horizontal="left" vertical="center"/>
    </xf>
    <xf numFmtId="0" fontId="4" fillId="5" borderId="136" xfId="1" applyFont="1" applyFill="1" applyBorder="1" applyAlignment="1">
      <alignment horizontal="left" vertical="center"/>
    </xf>
    <xf numFmtId="0" fontId="4" fillId="5" borderId="137" xfId="1" applyFont="1" applyFill="1" applyBorder="1" applyAlignment="1">
      <alignment horizontal="left" vertical="center"/>
    </xf>
    <xf numFmtId="0" fontId="4" fillId="5" borderId="138" xfId="1" applyFont="1" applyFill="1" applyBorder="1" applyAlignment="1">
      <alignment horizontal="left" vertical="center"/>
    </xf>
    <xf numFmtId="0" fontId="4" fillId="5" borderId="139" xfId="1" applyFont="1" applyFill="1" applyBorder="1" applyAlignment="1">
      <alignment horizontal="left" vertical="center"/>
    </xf>
    <xf numFmtId="0" fontId="4" fillId="5" borderId="140" xfId="1" applyFont="1" applyFill="1" applyBorder="1" applyAlignment="1">
      <alignment horizontal="left" vertical="center"/>
    </xf>
    <xf numFmtId="0" fontId="4" fillId="5" borderId="141" xfId="1" applyFont="1" applyFill="1" applyBorder="1" applyAlignment="1">
      <alignment horizontal="left" vertical="center"/>
    </xf>
    <xf numFmtId="0" fontId="4" fillId="5" borderId="142" xfId="1" applyFont="1" applyFill="1" applyBorder="1" applyAlignment="1">
      <alignment horizontal="left" vertical="center"/>
    </xf>
    <xf numFmtId="0" fontId="4" fillId="5" borderId="143" xfId="1" applyFont="1" applyFill="1" applyBorder="1" applyAlignment="1">
      <alignment horizontal="left" vertical="center"/>
    </xf>
    <xf numFmtId="0" fontId="4" fillId="5" borderId="144" xfId="1" applyFont="1" applyFill="1" applyBorder="1" applyAlignment="1">
      <alignment horizontal="left" vertical="center"/>
    </xf>
    <xf numFmtId="0" fontId="4" fillId="5" borderId="145" xfId="1" applyFont="1" applyFill="1" applyBorder="1" applyAlignment="1">
      <alignment horizontal="left" vertical="center"/>
    </xf>
    <xf numFmtId="0" fontId="4" fillId="5" borderId="146" xfId="1" applyFont="1" applyFill="1" applyBorder="1" applyAlignment="1">
      <alignment horizontal="left" vertical="center"/>
    </xf>
    <xf numFmtId="0" fontId="4" fillId="5" borderId="147" xfId="1" applyFont="1" applyFill="1" applyBorder="1" applyAlignment="1">
      <alignment horizontal="left" vertical="center"/>
    </xf>
    <xf numFmtId="0" fontId="4" fillId="5" borderId="148" xfId="1" applyFont="1" applyFill="1" applyBorder="1" applyAlignment="1">
      <alignment horizontal="left" vertical="center"/>
    </xf>
    <xf numFmtId="0" fontId="4" fillId="5" borderId="149" xfId="1" applyFont="1" applyFill="1" applyBorder="1" applyAlignment="1">
      <alignment horizontal="left" vertical="center"/>
    </xf>
    <xf numFmtId="0" fontId="4" fillId="5" borderId="150" xfId="1" applyFont="1" applyFill="1" applyBorder="1" applyAlignment="1">
      <alignment horizontal="left" vertical="center"/>
    </xf>
    <xf numFmtId="0" fontId="4" fillId="5" borderId="151" xfId="1" applyFont="1" applyFill="1" applyBorder="1" applyAlignment="1">
      <alignment horizontal="left" vertical="center"/>
    </xf>
    <xf numFmtId="0" fontId="4" fillId="5" borderId="152" xfId="1" applyFont="1" applyFill="1" applyBorder="1" applyAlignment="1">
      <alignment horizontal="left" vertical="center"/>
    </xf>
    <xf numFmtId="0" fontId="4" fillId="5" borderId="153" xfId="1" applyFont="1" applyFill="1" applyBorder="1" applyAlignment="1">
      <alignment horizontal="left" vertical="center"/>
    </xf>
    <xf numFmtId="0" fontId="4" fillId="5" borderId="154" xfId="1" applyFont="1" applyFill="1" applyBorder="1" applyAlignment="1">
      <alignment horizontal="left" vertical="center"/>
    </xf>
    <xf numFmtId="0" fontId="4" fillId="5" borderId="155" xfId="1" applyFont="1" applyFill="1" applyBorder="1" applyAlignment="1">
      <alignment horizontal="left" vertical="center"/>
    </xf>
    <xf numFmtId="0" fontId="4" fillId="5" borderId="156" xfId="1" applyFont="1" applyFill="1" applyBorder="1" applyAlignment="1">
      <alignment horizontal="left" vertical="center"/>
    </xf>
    <xf numFmtId="0" fontId="4" fillId="5" borderId="157" xfId="1" applyFont="1" applyFill="1" applyBorder="1" applyAlignment="1">
      <alignment horizontal="left" vertical="center"/>
    </xf>
    <xf numFmtId="0" fontId="4" fillId="5" borderId="158" xfId="1" applyFont="1" applyFill="1" applyBorder="1" applyAlignment="1">
      <alignment horizontal="left" vertical="center"/>
    </xf>
    <xf numFmtId="0" fontId="4" fillId="5" borderId="159" xfId="1" applyFont="1" applyFill="1" applyBorder="1" applyAlignment="1">
      <alignment horizontal="left" vertical="center"/>
    </xf>
    <xf numFmtId="0" fontId="4" fillId="5" borderId="160" xfId="1" applyFont="1" applyFill="1" applyBorder="1" applyAlignment="1">
      <alignment horizontal="left" vertical="center"/>
    </xf>
    <xf numFmtId="0" fontId="4" fillId="5" borderId="161" xfId="1" applyFont="1" applyFill="1" applyBorder="1" applyAlignment="1">
      <alignment horizontal="left" vertical="center"/>
    </xf>
    <xf numFmtId="0" fontId="4" fillId="5" borderId="162" xfId="1" applyFont="1" applyFill="1" applyBorder="1" applyAlignment="1">
      <alignment horizontal="left" vertical="center"/>
    </xf>
    <xf numFmtId="0" fontId="4" fillId="5" borderId="163" xfId="1" applyFont="1" applyFill="1" applyBorder="1" applyAlignment="1">
      <alignment horizontal="left" vertical="center"/>
    </xf>
    <xf numFmtId="0" fontId="4" fillId="5" borderId="164" xfId="1" applyFont="1" applyFill="1" applyBorder="1" applyAlignment="1">
      <alignment horizontal="left" vertical="center"/>
    </xf>
    <xf numFmtId="0" fontId="4" fillId="5" borderId="165" xfId="1" applyFont="1" applyFill="1" applyBorder="1" applyAlignment="1">
      <alignment horizontal="left" vertical="center"/>
    </xf>
    <xf numFmtId="0" fontId="4" fillId="5" borderId="166" xfId="1" applyFont="1" applyFill="1" applyBorder="1" applyAlignment="1">
      <alignment horizontal="left" vertical="center"/>
    </xf>
    <xf numFmtId="0" fontId="4" fillId="5" borderId="167" xfId="1" applyFont="1" applyFill="1" applyBorder="1" applyAlignment="1">
      <alignment horizontal="left" vertical="center"/>
    </xf>
    <xf numFmtId="0" fontId="4" fillId="5" borderId="168" xfId="1" applyFont="1" applyFill="1" applyBorder="1" applyAlignment="1">
      <alignment horizontal="left" vertical="center"/>
    </xf>
    <xf numFmtId="0" fontId="4" fillId="5" borderId="169" xfId="1" applyFont="1" applyFill="1" applyBorder="1" applyAlignment="1">
      <alignment horizontal="left" vertical="center"/>
    </xf>
    <xf numFmtId="0" fontId="4" fillId="5" borderId="170" xfId="1" applyFont="1" applyFill="1" applyBorder="1" applyAlignment="1">
      <alignment horizontal="left" vertical="center"/>
    </xf>
    <xf numFmtId="0" fontId="4" fillId="5" borderId="171" xfId="1" applyFont="1" applyFill="1" applyBorder="1" applyAlignment="1">
      <alignment horizontal="left" vertical="center"/>
    </xf>
    <xf numFmtId="0" fontId="4" fillId="5" borderId="172" xfId="1" applyFont="1" applyFill="1" applyBorder="1" applyAlignment="1">
      <alignment horizontal="left" vertical="center"/>
    </xf>
    <xf numFmtId="0" fontId="4" fillId="5" borderId="173" xfId="1" applyFont="1" applyFill="1" applyBorder="1" applyAlignment="1">
      <alignment horizontal="left" vertical="center"/>
    </xf>
    <xf numFmtId="0" fontId="4" fillId="5" borderId="174" xfId="1" applyFont="1" applyFill="1" applyBorder="1" applyAlignment="1">
      <alignment horizontal="left" vertical="center"/>
    </xf>
    <xf numFmtId="0" fontId="4" fillId="5" borderId="175" xfId="1" applyFont="1" applyFill="1" applyBorder="1" applyAlignment="1">
      <alignment horizontal="left" vertical="center"/>
    </xf>
    <xf numFmtId="0" fontId="4" fillId="5" borderId="176" xfId="1" applyFont="1" applyFill="1" applyBorder="1" applyAlignment="1">
      <alignment horizontal="left" vertical="center"/>
    </xf>
    <xf numFmtId="0" fontId="4" fillId="5" borderId="177" xfId="1" applyFont="1" applyFill="1" applyBorder="1" applyAlignment="1">
      <alignment horizontal="left" vertical="center"/>
    </xf>
    <xf numFmtId="0" fontId="4" fillId="5" borderId="178" xfId="1" applyFont="1" applyFill="1" applyBorder="1" applyAlignment="1">
      <alignment horizontal="left" vertical="center"/>
    </xf>
    <xf numFmtId="0" fontId="4" fillId="5" borderId="179" xfId="1" applyFont="1" applyFill="1" applyBorder="1" applyAlignment="1">
      <alignment horizontal="left" vertical="center"/>
    </xf>
    <xf numFmtId="0" fontId="4" fillId="5" borderId="180" xfId="1" applyFont="1" applyFill="1" applyBorder="1" applyAlignment="1">
      <alignment horizontal="left" vertical="center"/>
    </xf>
    <xf numFmtId="0" fontId="4" fillId="5" borderId="181" xfId="1" applyFont="1" applyFill="1" applyBorder="1" applyAlignment="1">
      <alignment horizontal="left" vertical="center"/>
    </xf>
    <xf numFmtId="0" fontId="4" fillId="5" borderId="182" xfId="1" applyFont="1" applyFill="1" applyBorder="1" applyAlignment="1">
      <alignment horizontal="left" vertical="center"/>
    </xf>
    <xf numFmtId="0" fontId="4" fillId="5" borderId="183" xfId="1" applyFont="1" applyFill="1" applyBorder="1" applyAlignment="1">
      <alignment horizontal="left" vertical="center"/>
    </xf>
    <xf numFmtId="0" fontId="4" fillId="5" borderId="184" xfId="1" applyFont="1" applyFill="1" applyBorder="1" applyAlignment="1">
      <alignment horizontal="left" vertical="center"/>
    </xf>
    <xf numFmtId="0" fontId="4" fillId="5" borderId="185" xfId="1" applyFont="1" applyFill="1" applyBorder="1" applyAlignment="1">
      <alignment horizontal="left" vertical="center"/>
    </xf>
    <xf numFmtId="0" fontId="4" fillId="5" borderId="186" xfId="1" applyFont="1" applyFill="1" applyBorder="1" applyAlignment="1">
      <alignment horizontal="left" vertical="center"/>
    </xf>
    <xf numFmtId="0" fontId="4" fillId="5" borderId="187" xfId="1" applyFont="1" applyFill="1" applyBorder="1" applyAlignment="1">
      <alignment horizontal="left" vertical="center"/>
    </xf>
    <xf numFmtId="0" fontId="4" fillId="5" borderId="188" xfId="1" applyFont="1" applyFill="1" applyBorder="1" applyAlignment="1">
      <alignment horizontal="left" vertical="center"/>
    </xf>
    <xf numFmtId="0" fontId="4" fillId="5" borderId="189" xfId="1" applyFont="1" applyFill="1" applyBorder="1" applyAlignment="1">
      <alignment horizontal="left" vertical="center"/>
    </xf>
    <xf numFmtId="0" fontId="4" fillId="5" borderId="190" xfId="1" applyFont="1" applyFill="1" applyBorder="1" applyAlignment="1">
      <alignment horizontal="left" vertical="center"/>
    </xf>
    <xf numFmtId="0" fontId="4" fillId="5" borderId="191" xfId="1" applyFont="1" applyFill="1" applyBorder="1" applyAlignment="1">
      <alignment horizontal="left" vertical="center"/>
    </xf>
    <xf numFmtId="0" fontId="4" fillId="5" borderId="192" xfId="1" applyFont="1" applyFill="1" applyBorder="1" applyAlignment="1">
      <alignment horizontal="left" vertical="center"/>
    </xf>
    <xf numFmtId="0" fontId="4" fillId="5" borderId="193" xfId="1" applyFont="1" applyFill="1" applyBorder="1" applyAlignment="1">
      <alignment horizontal="left" vertical="center"/>
    </xf>
    <xf numFmtId="0" fontId="4" fillId="5" borderId="194" xfId="1" applyFont="1" applyFill="1" applyBorder="1" applyAlignment="1">
      <alignment horizontal="left" vertical="center"/>
    </xf>
    <xf numFmtId="0" fontId="4" fillId="5" borderId="195" xfId="1" applyFont="1" applyFill="1" applyBorder="1" applyAlignment="1">
      <alignment horizontal="left" vertical="center"/>
    </xf>
    <xf numFmtId="0" fontId="4" fillId="5" borderId="196" xfId="1" applyFont="1" applyFill="1" applyBorder="1" applyAlignment="1">
      <alignment horizontal="left" vertical="center"/>
    </xf>
    <xf numFmtId="0" fontId="4" fillId="5" borderId="197" xfId="1" applyFont="1" applyFill="1" applyBorder="1" applyAlignment="1">
      <alignment horizontal="left" vertical="center"/>
    </xf>
    <xf numFmtId="0" fontId="4" fillId="5" borderId="198" xfId="1" applyFont="1" applyFill="1" applyBorder="1" applyAlignment="1">
      <alignment horizontal="left" vertical="center"/>
    </xf>
    <xf numFmtId="0" fontId="4" fillId="5" borderId="199" xfId="1" applyFont="1" applyFill="1" applyBorder="1" applyAlignment="1">
      <alignment horizontal="left" vertical="center"/>
    </xf>
    <xf numFmtId="0" fontId="4" fillId="5" borderId="200" xfId="1" applyFont="1" applyFill="1" applyBorder="1" applyAlignment="1">
      <alignment horizontal="left" vertical="center"/>
    </xf>
    <xf numFmtId="0" fontId="4" fillId="5" borderId="201" xfId="1" applyFont="1" applyFill="1" applyBorder="1" applyAlignment="1">
      <alignment horizontal="left" vertical="center"/>
    </xf>
    <xf numFmtId="0" fontId="4" fillId="5" borderId="202" xfId="1" applyFont="1" applyFill="1" applyBorder="1" applyAlignment="1">
      <alignment horizontal="left" vertical="center"/>
    </xf>
    <xf numFmtId="0" fontId="4" fillId="5" borderId="203" xfId="1" applyFont="1" applyFill="1" applyBorder="1" applyAlignment="1">
      <alignment horizontal="left" vertical="center"/>
    </xf>
    <xf numFmtId="0" fontId="4" fillId="5" borderId="204" xfId="1" applyFont="1" applyFill="1" applyBorder="1" applyAlignment="1">
      <alignment horizontal="left" vertical="center"/>
    </xf>
    <xf numFmtId="0" fontId="4" fillId="5" borderId="205" xfId="1" applyFont="1" applyFill="1" applyBorder="1" applyAlignment="1">
      <alignment horizontal="left" vertical="center"/>
    </xf>
    <xf numFmtId="0" fontId="4" fillId="5" borderId="206" xfId="1" applyFont="1" applyFill="1" applyBorder="1" applyAlignment="1">
      <alignment horizontal="left" vertical="center"/>
    </xf>
    <xf numFmtId="0" fontId="4" fillId="5" borderId="207" xfId="1" applyFont="1" applyFill="1" applyBorder="1" applyAlignment="1">
      <alignment horizontal="left" vertical="center"/>
    </xf>
    <xf numFmtId="0" fontId="4" fillId="5" borderId="208" xfId="1" applyFont="1" applyFill="1" applyBorder="1" applyAlignment="1">
      <alignment horizontal="left" vertical="center"/>
    </xf>
    <xf numFmtId="0" fontId="4" fillId="5" borderId="209" xfId="1" applyFont="1" applyFill="1" applyBorder="1" applyAlignment="1">
      <alignment horizontal="left" vertical="center"/>
    </xf>
    <xf numFmtId="0" fontId="4" fillId="5" borderId="210" xfId="1" applyFont="1" applyFill="1" applyBorder="1" applyAlignment="1">
      <alignment horizontal="left" vertical="center"/>
    </xf>
    <xf numFmtId="0" fontId="4" fillId="5" borderId="211" xfId="1" applyFont="1" applyFill="1" applyBorder="1" applyAlignment="1">
      <alignment horizontal="left" vertical="center"/>
    </xf>
    <xf numFmtId="0" fontId="4" fillId="5" borderId="212" xfId="1" applyFont="1" applyFill="1" applyBorder="1" applyAlignment="1">
      <alignment horizontal="left" vertical="center"/>
    </xf>
    <xf numFmtId="0" fontId="4" fillId="5" borderId="213" xfId="1" applyFont="1" applyFill="1" applyBorder="1" applyAlignment="1">
      <alignment horizontal="left" vertical="center"/>
    </xf>
    <xf numFmtId="0" fontId="4" fillId="5" borderId="214" xfId="1" applyFont="1" applyFill="1" applyBorder="1" applyAlignment="1">
      <alignment horizontal="left" vertical="center"/>
    </xf>
    <xf numFmtId="0" fontId="4" fillId="5" borderId="215" xfId="1" applyFont="1" applyFill="1" applyBorder="1" applyAlignment="1">
      <alignment horizontal="left" vertical="center"/>
    </xf>
    <xf numFmtId="0" fontId="4" fillId="5" borderId="216" xfId="1" applyFont="1" applyFill="1" applyBorder="1" applyAlignment="1">
      <alignment horizontal="left" vertical="center"/>
    </xf>
    <xf numFmtId="0" fontId="4" fillId="5" borderId="217" xfId="1" applyFont="1" applyFill="1" applyBorder="1" applyAlignment="1">
      <alignment horizontal="left" vertical="center"/>
    </xf>
    <xf numFmtId="0" fontId="4" fillId="5" borderId="218" xfId="1" applyFont="1" applyFill="1" applyBorder="1" applyAlignment="1">
      <alignment horizontal="left" vertical="center"/>
    </xf>
    <xf numFmtId="0" fontId="4" fillId="5" borderId="219" xfId="1" applyFont="1" applyFill="1" applyBorder="1" applyAlignment="1">
      <alignment horizontal="left" vertical="center"/>
    </xf>
    <xf numFmtId="0" fontId="4" fillId="5" borderId="220" xfId="1" applyFont="1" applyFill="1" applyBorder="1" applyAlignment="1">
      <alignment horizontal="left" vertical="center"/>
    </xf>
    <xf numFmtId="0" fontId="4" fillId="5" borderId="221" xfId="1" applyFont="1" applyFill="1" applyBorder="1" applyAlignment="1">
      <alignment horizontal="left" vertical="center"/>
    </xf>
    <xf numFmtId="0" fontId="4" fillId="5" borderId="222" xfId="1" applyFont="1" applyFill="1" applyBorder="1" applyAlignment="1">
      <alignment horizontal="left" vertical="center"/>
    </xf>
    <xf numFmtId="0" fontId="4" fillId="5" borderId="223" xfId="1" applyFont="1" applyFill="1" applyBorder="1" applyAlignment="1">
      <alignment horizontal="left" vertical="center"/>
    </xf>
    <xf numFmtId="0" fontId="4" fillId="5" borderId="224" xfId="1" applyFont="1" applyFill="1" applyBorder="1" applyAlignment="1">
      <alignment horizontal="left" vertical="center"/>
    </xf>
    <xf numFmtId="0" fontId="4" fillId="5" borderId="225" xfId="1" applyFont="1" applyFill="1" applyBorder="1" applyAlignment="1">
      <alignment horizontal="left" vertical="center"/>
    </xf>
    <xf numFmtId="0" fontId="4" fillId="5" borderId="226" xfId="1" applyFont="1" applyFill="1" applyBorder="1" applyAlignment="1">
      <alignment horizontal="left" vertical="center"/>
    </xf>
    <xf numFmtId="0" fontId="4" fillId="5" borderId="227" xfId="1" applyFont="1" applyFill="1" applyBorder="1" applyAlignment="1">
      <alignment horizontal="left" vertical="center"/>
    </xf>
    <xf numFmtId="0" fontId="4" fillId="5" borderId="228" xfId="1" applyFont="1" applyFill="1" applyBorder="1" applyAlignment="1">
      <alignment horizontal="left" vertical="center"/>
    </xf>
    <xf numFmtId="0" fontId="4" fillId="5" borderId="229" xfId="1" applyFont="1" applyFill="1" applyBorder="1" applyAlignment="1">
      <alignment horizontal="left" vertical="center"/>
    </xf>
    <xf numFmtId="0" fontId="4" fillId="5" borderId="230" xfId="1" applyFont="1" applyFill="1" applyBorder="1" applyAlignment="1">
      <alignment horizontal="left" vertical="center"/>
    </xf>
    <xf numFmtId="0" fontId="4" fillId="5" borderId="231" xfId="1" applyFont="1" applyFill="1" applyBorder="1" applyAlignment="1">
      <alignment horizontal="left" vertical="center"/>
    </xf>
    <xf numFmtId="0" fontId="4" fillId="5" borderId="232" xfId="1" applyFont="1" applyFill="1" applyBorder="1" applyAlignment="1">
      <alignment horizontal="left" vertical="center"/>
    </xf>
    <xf numFmtId="0" fontId="4" fillId="5" borderId="233" xfId="1" applyFont="1" applyFill="1" applyBorder="1" applyAlignment="1">
      <alignment horizontal="left" vertical="center"/>
    </xf>
    <xf numFmtId="0" fontId="4" fillId="5" borderId="234" xfId="1" applyFont="1" applyFill="1" applyBorder="1" applyAlignment="1">
      <alignment horizontal="left" vertical="center"/>
    </xf>
    <xf numFmtId="0" fontId="4" fillId="5" borderId="235" xfId="1" applyFont="1" applyFill="1" applyBorder="1" applyAlignment="1">
      <alignment horizontal="left" vertical="center"/>
    </xf>
    <xf numFmtId="0" fontId="4" fillId="5" borderId="236" xfId="1" applyFont="1" applyFill="1" applyBorder="1" applyAlignment="1">
      <alignment horizontal="left" vertical="center"/>
    </xf>
    <xf numFmtId="0" fontId="4" fillId="5" borderId="237" xfId="1" applyFont="1" applyFill="1" applyBorder="1" applyAlignment="1">
      <alignment horizontal="left" vertical="center"/>
    </xf>
    <xf numFmtId="0" fontId="4" fillId="5" borderId="238" xfId="1" applyFont="1" applyFill="1" applyBorder="1" applyAlignment="1">
      <alignment horizontal="left" vertical="center"/>
    </xf>
    <xf numFmtId="0" fontId="4" fillId="5" borderId="239" xfId="1" applyFont="1" applyFill="1" applyBorder="1" applyAlignment="1">
      <alignment horizontal="left" vertical="center"/>
    </xf>
    <xf numFmtId="0" fontId="4" fillId="5" borderId="240" xfId="1" applyFont="1" applyFill="1" applyBorder="1" applyAlignment="1">
      <alignment horizontal="left" vertical="center"/>
    </xf>
    <xf numFmtId="0" fontId="4" fillId="5" borderId="241" xfId="1" applyFont="1" applyFill="1" applyBorder="1" applyAlignment="1">
      <alignment horizontal="left" vertical="center"/>
    </xf>
    <xf numFmtId="0" fontId="4" fillId="5" borderId="242" xfId="1" applyFont="1" applyFill="1" applyBorder="1" applyAlignment="1">
      <alignment horizontal="left" vertical="center"/>
    </xf>
    <xf numFmtId="0" fontId="4" fillId="5" borderId="243" xfId="1" applyFont="1" applyFill="1" applyBorder="1" applyAlignment="1">
      <alignment horizontal="left" vertical="center"/>
    </xf>
    <xf numFmtId="0" fontId="4" fillId="5" borderId="244" xfId="1" applyFont="1" applyFill="1" applyBorder="1" applyAlignment="1">
      <alignment horizontal="left" vertical="center"/>
    </xf>
    <xf numFmtId="0" fontId="4" fillId="5" borderId="245" xfId="1" applyFont="1" applyFill="1" applyBorder="1" applyAlignment="1">
      <alignment horizontal="left" vertical="center"/>
    </xf>
    <xf numFmtId="0" fontId="4" fillId="5" borderId="246" xfId="1" applyFont="1" applyFill="1" applyBorder="1" applyAlignment="1">
      <alignment horizontal="left" vertical="center"/>
    </xf>
    <xf numFmtId="0" fontId="4" fillId="5" borderId="247" xfId="1" applyFont="1" applyFill="1" applyBorder="1" applyAlignment="1">
      <alignment horizontal="left" vertical="center"/>
    </xf>
    <xf numFmtId="0" fontId="4" fillId="5" borderId="248" xfId="1" applyFont="1" applyFill="1" applyBorder="1" applyAlignment="1">
      <alignment horizontal="left" vertical="center"/>
    </xf>
    <xf numFmtId="0" fontId="4" fillId="5" borderId="249" xfId="1" applyFont="1" applyFill="1" applyBorder="1" applyAlignment="1">
      <alignment horizontal="left" vertical="center"/>
    </xf>
    <xf numFmtId="0" fontId="4" fillId="5" borderId="250" xfId="1" applyFont="1" applyFill="1" applyBorder="1" applyAlignment="1">
      <alignment horizontal="left" vertical="center"/>
    </xf>
    <xf numFmtId="0" fontId="4" fillId="5" borderId="251" xfId="1" applyFont="1" applyFill="1" applyBorder="1" applyAlignment="1">
      <alignment horizontal="left" vertical="center"/>
    </xf>
    <xf numFmtId="0" fontId="4" fillId="5" borderId="252" xfId="1" applyFont="1" applyFill="1" applyBorder="1" applyAlignment="1">
      <alignment horizontal="left" vertical="center"/>
    </xf>
    <xf numFmtId="0" fontId="4" fillId="5" borderId="253" xfId="1" applyFont="1" applyFill="1" applyBorder="1" applyAlignment="1">
      <alignment horizontal="left" vertical="center"/>
    </xf>
    <xf numFmtId="0" fontId="4" fillId="5" borderId="254" xfId="1" applyFont="1" applyFill="1" applyBorder="1" applyAlignment="1">
      <alignment horizontal="left" vertical="center"/>
    </xf>
    <xf numFmtId="0" fontId="4" fillId="5" borderId="255" xfId="1" applyFont="1" applyFill="1" applyBorder="1" applyAlignment="1">
      <alignment horizontal="left" vertical="center"/>
    </xf>
    <xf numFmtId="0" fontId="4" fillId="5" borderId="256" xfId="1" applyFont="1" applyFill="1" applyBorder="1" applyAlignment="1">
      <alignment horizontal="left" vertical="center"/>
    </xf>
    <xf numFmtId="0" fontId="4" fillId="5" borderId="257" xfId="1" applyFont="1" applyFill="1" applyBorder="1" applyAlignment="1">
      <alignment horizontal="left" vertical="center"/>
    </xf>
    <xf numFmtId="0" fontId="4" fillId="5" borderId="258" xfId="1" applyFont="1" applyFill="1" applyBorder="1" applyAlignment="1">
      <alignment horizontal="left" vertical="center"/>
    </xf>
    <xf numFmtId="0" fontId="4" fillId="5" borderId="259" xfId="1" applyFont="1" applyFill="1" applyBorder="1" applyAlignment="1">
      <alignment horizontal="left" vertical="center"/>
    </xf>
    <xf numFmtId="0" fontId="4" fillId="5" borderId="260" xfId="1" applyFont="1" applyFill="1" applyBorder="1" applyAlignment="1">
      <alignment horizontal="left" vertical="center"/>
    </xf>
    <xf numFmtId="0" fontId="4" fillId="5" borderId="261" xfId="1" applyFont="1" applyFill="1" applyBorder="1" applyAlignment="1">
      <alignment horizontal="left" vertical="center"/>
    </xf>
    <xf numFmtId="0" fontId="4" fillId="5" borderId="262" xfId="1" applyFont="1" applyFill="1" applyBorder="1" applyAlignment="1">
      <alignment horizontal="left" vertical="center"/>
    </xf>
    <xf numFmtId="0" fontId="4" fillId="5" borderId="263" xfId="1" applyFont="1" applyFill="1" applyBorder="1" applyAlignment="1">
      <alignment horizontal="left" vertical="center"/>
    </xf>
    <xf numFmtId="0" fontId="4" fillId="5" borderId="264" xfId="1" applyFont="1" applyFill="1" applyBorder="1" applyAlignment="1">
      <alignment horizontal="left" vertical="center"/>
    </xf>
    <xf numFmtId="0" fontId="4" fillId="5" borderId="265" xfId="1" applyFont="1" applyFill="1" applyBorder="1" applyAlignment="1">
      <alignment horizontal="left" vertical="center"/>
    </xf>
    <xf numFmtId="0" fontId="4" fillId="5" borderId="266" xfId="1" applyFont="1" applyFill="1" applyBorder="1" applyAlignment="1">
      <alignment horizontal="left" vertical="center"/>
    </xf>
    <xf numFmtId="0" fontId="4" fillId="5" borderId="267" xfId="1" applyFont="1" applyFill="1" applyBorder="1" applyAlignment="1">
      <alignment horizontal="left" vertical="center"/>
    </xf>
    <xf numFmtId="0" fontId="4" fillId="5" borderId="268" xfId="1" applyFont="1" applyFill="1" applyBorder="1" applyAlignment="1">
      <alignment horizontal="left" vertical="center"/>
    </xf>
    <xf numFmtId="0" fontId="4" fillId="5" borderId="269" xfId="1" applyFont="1" applyFill="1" applyBorder="1" applyAlignment="1">
      <alignment horizontal="left" vertical="center"/>
    </xf>
    <xf numFmtId="0" fontId="4" fillId="5" borderId="270" xfId="1" applyFont="1" applyFill="1" applyBorder="1" applyAlignment="1">
      <alignment horizontal="left" vertical="center"/>
    </xf>
    <xf numFmtId="0" fontId="4" fillId="5" borderId="271" xfId="1" applyFont="1" applyFill="1" applyBorder="1" applyAlignment="1">
      <alignment horizontal="left" vertical="center"/>
    </xf>
    <xf numFmtId="0" fontId="4" fillId="5" borderId="272" xfId="1" applyFont="1" applyFill="1" applyBorder="1" applyAlignment="1">
      <alignment horizontal="left" vertical="center"/>
    </xf>
    <xf numFmtId="0" fontId="4" fillId="5" borderId="273" xfId="1" applyFont="1" applyFill="1" applyBorder="1" applyAlignment="1">
      <alignment horizontal="left" vertical="center"/>
    </xf>
    <xf numFmtId="0" fontId="4" fillId="5" borderId="274" xfId="1" applyFont="1" applyFill="1" applyBorder="1" applyAlignment="1">
      <alignment horizontal="left" vertical="center"/>
    </xf>
    <xf numFmtId="0" fontId="4" fillId="5" borderId="275" xfId="1" applyFont="1" applyFill="1" applyBorder="1" applyAlignment="1">
      <alignment horizontal="left" vertical="center"/>
    </xf>
    <xf numFmtId="0" fontId="4" fillId="5" borderId="276" xfId="1" applyFont="1" applyFill="1" applyBorder="1" applyAlignment="1">
      <alignment horizontal="left" vertical="center"/>
    </xf>
    <xf numFmtId="0" fontId="4" fillId="5" borderId="277" xfId="1" applyFont="1" applyFill="1" applyBorder="1" applyAlignment="1">
      <alignment horizontal="left" vertical="center"/>
    </xf>
    <xf numFmtId="0" fontId="4" fillId="5" borderId="278" xfId="1" applyFont="1" applyFill="1" applyBorder="1" applyAlignment="1">
      <alignment horizontal="left" vertical="center"/>
    </xf>
    <xf numFmtId="0" fontId="4" fillId="5" borderId="279" xfId="1" applyFont="1" applyFill="1" applyBorder="1" applyAlignment="1">
      <alignment horizontal="left" vertical="center"/>
    </xf>
    <xf numFmtId="0" fontId="4" fillId="5" borderId="280" xfId="1" applyFont="1" applyFill="1" applyBorder="1" applyAlignment="1">
      <alignment horizontal="left" vertical="center"/>
    </xf>
    <xf numFmtId="0" fontId="4" fillId="5" borderId="281" xfId="1" applyFont="1" applyFill="1" applyBorder="1" applyAlignment="1">
      <alignment horizontal="left" vertical="center"/>
    </xf>
    <xf numFmtId="0" fontId="4" fillId="5" borderId="282" xfId="1" applyFont="1" applyFill="1" applyBorder="1" applyAlignment="1">
      <alignment horizontal="left" vertical="center"/>
    </xf>
    <xf numFmtId="0" fontId="4" fillId="5" borderId="283" xfId="1" applyFont="1" applyFill="1" applyBorder="1" applyAlignment="1">
      <alignment horizontal="left" vertical="center"/>
    </xf>
    <xf numFmtId="0" fontId="4" fillId="5" borderId="284" xfId="1" applyFont="1" applyFill="1" applyBorder="1" applyAlignment="1">
      <alignment horizontal="left" vertical="center"/>
    </xf>
    <xf numFmtId="0" fontId="4" fillId="5" borderId="285" xfId="1" applyFont="1" applyFill="1" applyBorder="1" applyAlignment="1">
      <alignment horizontal="left" vertical="center"/>
    </xf>
    <xf numFmtId="0" fontId="4" fillId="5" borderId="286" xfId="1" applyFont="1" applyFill="1" applyBorder="1" applyAlignment="1">
      <alignment horizontal="left" vertical="center"/>
    </xf>
    <xf numFmtId="0" fontId="4" fillId="5" borderId="287" xfId="1" applyFont="1" applyFill="1" applyBorder="1" applyAlignment="1">
      <alignment horizontal="left" vertical="center"/>
    </xf>
    <xf numFmtId="0" fontId="4" fillId="5" borderId="288" xfId="1" applyFont="1" applyFill="1" applyBorder="1" applyAlignment="1">
      <alignment horizontal="left" vertical="center"/>
    </xf>
    <xf numFmtId="0" fontId="4" fillId="5" borderId="289" xfId="1" applyFont="1" applyFill="1" applyBorder="1" applyAlignment="1">
      <alignment horizontal="left" vertical="center"/>
    </xf>
    <xf numFmtId="0" fontId="4" fillId="5" borderId="290" xfId="1" applyFont="1" applyFill="1" applyBorder="1" applyAlignment="1">
      <alignment horizontal="left" vertical="center"/>
    </xf>
    <xf numFmtId="0" fontId="4" fillId="5" borderId="291" xfId="1" applyFont="1" applyFill="1" applyBorder="1" applyAlignment="1">
      <alignment horizontal="left" vertical="center"/>
    </xf>
    <xf numFmtId="0" fontId="4" fillId="5" borderId="292" xfId="1" applyFont="1" applyFill="1" applyBorder="1" applyAlignment="1">
      <alignment horizontal="left" vertical="center"/>
    </xf>
    <xf numFmtId="0" fontId="4" fillId="5" borderId="293" xfId="1" applyFont="1" applyFill="1" applyBorder="1" applyAlignment="1">
      <alignment horizontal="left" vertical="center"/>
    </xf>
    <xf numFmtId="0" fontId="4" fillId="5" borderId="294" xfId="1" applyFont="1" applyFill="1" applyBorder="1" applyAlignment="1">
      <alignment horizontal="left" vertical="center"/>
    </xf>
    <xf numFmtId="0" fontId="4" fillId="5" borderId="295" xfId="1" applyFont="1" applyFill="1" applyBorder="1" applyAlignment="1">
      <alignment horizontal="left" vertical="center"/>
    </xf>
    <xf numFmtId="0" fontId="4" fillId="5" borderId="296" xfId="1" applyFont="1" applyFill="1" applyBorder="1" applyAlignment="1">
      <alignment horizontal="left" vertical="center"/>
    </xf>
    <xf numFmtId="0" fontId="4" fillId="5" borderId="297" xfId="1" applyFont="1" applyFill="1" applyBorder="1" applyAlignment="1">
      <alignment horizontal="left" vertical="center"/>
    </xf>
    <xf numFmtId="0" fontId="4" fillId="5" borderId="298" xfId="1" applyFont="1" applyFill="1" applyBorder="1" applyAlignment="1">
      <alignment horizontal="left" vertical="center"/>
    </xf>
    <xf numFmtId="0" fontId="4" fillId="5" borderId="299" xfId="1" applyFont="1" applyFill="1" applyBorder="1" applyAlignment="1">
      <alignment horizontal="left" vertical="center"/>
    </xf>
    <xf numFmtId="0" fontId="4" fillId="5" borderId="300" xfId="1" applyFont="1" applyFill="1" applyBorder="1" applyAlignment="1">
      <alignment horizontal="left" vertical="center"/>
    </xf>
    <xf numFmtId="0" fontId="4" fillId="5" borderId="301" xfId="1" applyFont="1" applyFill="1" applyBorder="1" applyAlignment="1">
      <alignment horizontal="left" vertical="center"/>
    </xf>
    <xf numFmtId="0" fontId="4" fillId="5" borderId="302" xfId="1" applyFont="1" applyFill="1" applyBorder="1" applyAlignment="1">
      <alignment horizontal="left" vertical="center"/>
    </xf>
    <xf numFmtId="0" fontId="4" fillId="5" borderId="303" xfId="1" applyFont="1" applyFill="1" applyBorder="1" applyAlignment="1">
      <alignment horizontal="left" vertical="center"/>
    </xf>
    <xf numFmtId="0" fontId="4" fillId="5" borderId="304" xfId="1" applyFont="1" applyFill="1" applyBorder="1" applyAlignment="1">
      <alignment horizontal="left" vertical="center"/>
    </xf>
    <xf numFmtId="0" fontId="4" fillId="5" borderId="305" xfId="1" applyFont="1" applyFill="1" applyBorder="1" applyAlignment="1">
      <alignment horizontal="left" vertical="center"/>
    </xf>
    <xf numFmtId="0" fontId="4" fillId="5" borderId="306" xfId="1" applyFont="1" applyFill="1" applyBorder="1" applyAlignment="1">
      <alignment horizontal="left" vertical="center"/>
    </xf>
    <xf numFmtId="0" fontId="4" fillId="5" borderId="307" xfId="1" applyFont="1" applyFill="1" applyBorder="1" applyAlignment="1">
      <alignment horizontal="left" vertical="center"/>
    </xf>
    <xf numFmtId="0" fontId="4" fillId="5" borderId="308" xfId="1" applyFont="1" applyFill="1" applyBorder="1" applyAlignment="1">
      <alignment horizontal="left" vertical="center"/>
    </xf>
    <xf numFmtId="0" fontId="4" fillId="5" borderId="309" xfId="1" applyFont="1" applyFill="1" applyBorder="1" applyAlignment="1">
      <alignment horizontal="left" vertical="center"/>
    </xf>
    <xf numFmtId="0" fontId="4" fillId="5" borderId="310" xfId="1" applyFont="1" applyFill="1" applyBorder="1" applyAlignment="1">
      <alignment horizontal="left" vertical="center"/>
    </xf>
    <xf numFmtId="0" fontId="4" fillId="5" borderId="311" xfId="1" applyFont="1" applyFill="1" applyBorder="1" applyAlignment="1">
      <alignment horizontal="left" vertical="center"/>
    </xf>
    <xf numFmtId="0" fontId="4" fillId="5" borderId="312" xfId="1" applyFont="1" applyFill="1" applyBorder="1" applyAlignment="1">
      <alignment horizontal="left" vertical="center"/>
    </xf>
    <xf numFmtId="0" fontId="4" fillId="5" borderId="313" xfId="1" applyFont="1" applyFill="1" applyBorder="1" applyAlignment="1">
      <alignment horizontal="left" vertical="center"/>
    </xf>
    <xf numFmtId="0" fontId="4" fillId="5" borderId="314" xfId="1" applyFont="1" applyFill="1" applyBorder="1" applyAlignment="1">
      <alignment horizontal="left" vertical="center"/>
    </xf>
    <xf numFmtId="0" fontId="4" fillId="5" borderId="315" xfId="1" applyFont="1" applyFill="1" applyBorder="1" applyAlignment="1">
      <alignment horizontal="left" vertical="center"/>
    </xf>
    <xf numFmtId="0" fontId="4" fillId="5" borderId="316" xfId="1" applyFont="1" applyFill="1" applyBorder="1" applyAlignment="1">
      <alignment horizontal="left" vertical="center"/>
    </xf>
    <xf numFmtId="0" fontId="4" fillId="5" borderId="317" xfId="1" applyFont="1" applyFill="1" applyBorder="1" applyAlignment="1">
      <alignment horizontal="left" vertical="center"/>
    </xf>
    <xf numFmtId="0" fontId="4" fillId="5" borderId="318" xfId="1" applyFont="1" applyFill="1" applyBorder="1" applyAlignment="1">
      <alignment horizontal="left" vertical="center"/>
    </xf>
    <xf numFmtId="0" fontId="4" fillId="5" borderId="319" xfId="1" applyFont="1" applyFill="1" applyBorder="1" applyAlignment="1">
      <alignment horizontal="left" vertical="center"/>
    </xf>
    <xf numFmtId="0" fontId="4" fillId="5" borderId="320" xfId="1" applyFont="1" applyFill="1" applyBorder="1" applyAlignment="1">
      <alignment horizontal="left" vertical="center"/>
    </xf>
    <xf numFmtId="0" fontId="4" fillId="5" borderId="321" xfId="1" applyFont="1" applyFill="1" applyBorder="1" applyAlignment="1">
      <alignment horizontal="left" vertical="center"/>
    </xf>
    <xf numFmtId="0" fontId="4" fillId="5" borderId="322" xfId="1" applyFont="1" applyFill="1" applyBorder="1" applyAlignment="1">
      <alignment horizontal="left" vertical="center"/>
    </xf>
    <xf numFmtId="0" fontId="4" fillId="5" borderId="323" xfId="1" applyFont="1" applyFill="1" applyBorder="1" applyAlignment="1">
      <alignment horizontal="left" vertical="center"/>
    </xf>
    <xf numFmtId="0" fontId="4" fillId="5" borderId="324" xfId="1" applyFont="1" applyFill="1" applyBorder="1" applyAlignment="1">
      <alignment horizontal="left" vertical="center"/>
    </xf>
    <xf numFmtId="0" fontId="4" fillId="5" borderId="325" xfId="1" applyFont="1" applyFill="1" applyBorder="1" applyAlignment="1">
      <alignment horizontal="left" vertical="center"/>
    </xf>
    <xf numFmtId="0" fontId="4" fillId="5" borderId="326" xfId="1" applyFont="1" applyFill="1" applyBorder="1" applyAlignment="1">
      <alignment horizontal="left" vertical="center"/>
    </xf>
    <xf numFmtId="0" fontId="4" fillId="5" borderId="327" xfId="1" applyFont="1" applyFill="1" applyBorder="1" applyAlignment="1">
      <alignment horizontal="left" vertical="center"/>
    </xf>
    <xf numFmtId="0" fontId="4" fillId="5" borderId="328" xfId="1" applyFont="1" applyFill="1" applyBorder="1" applyAlignment="1">
      <alignment horizontal="left" vertical="center"/>
    </xf>
    <xf numFmtId="0" fontId="4" fillId="5" borderId="329" xfId="1" applyFont="1" applyFill="1" applyBorder="1" applyAlignment="1">
      <alignment horizontal="left" vertical="center"/>
    </xf>
    <xf numFmtId="0" fontId="4" fillId="5" borderId="330" xfId="1" applyFont="1" applyFill="1" applyBorder="1" applyAlignment="1">
      <alignment horizontal="left" vertical="center"/>
    </xf>
    <xf numFmtId="0" fontId="0" fillId="0" borderId="0" xfId="0" applyFont="1" applyAlignment="1"/>
    <xf numFmtId="0" fontId="4" fillId="5" borderId="0" xfId="1" applyFont="1" applyFill="1" applyBorder="1" applyAlignment="1">
      <alignment horizontal="center" vertical="center"/>
    </xf>
    <xf numFmtId="9" fontId="10" fillId="4" borderId="0" xfId="0" applyNumberFormat="1" applyFont="1" applyFill="1" applyBorder="1" applyAlignment="1">
      <alignment horizontal="right" vertical="center"/>
    </xf>
    <xf numFmtId="0" fontId="11" fillId="6" borderId="332" xfId="0" applyFont="1" applyFill="1" applyBorder="1" applyAlignment="1">
      <alignment horizontal="center"/>
    </xf>
    <xf numFmtId="0" fontId="1" fillId="0" borderId="333" xfId="0" applyFont="1" applyBorder="1" applyAlignment="1">
      <alignment vertical="center"/>
    </xf>
    <xf numFmtId="15" fontId="1" fillId="0" borderId="333" xfId="0" applyNumberFormat="1" applyFont="1" applyBorder="1" applyAlignment="1">
      <alignment vertical="center"/>
    </xf>
    <xf numFmtId="1" fontId="1" fillId="0" borderId="333" xfId="0" applyNumberFormat="1" applyFont="1" applyBorder="1" applyAlignment="1">
      <alignment vertical="center"/>
    </xf>
    <xf numFmtId="0" fontId="11" fillId="6" borderId="331" xfId="0" applyFont="1" applyFill="1" applyBorder="1"/>
    <xf numFmtId="0" fontId="1" fillId="0" borderId="334" xfId="0" applyFont="1" applyBorder="1" applyAlignment="1">
      <alignment vertical="center"/>
    </xf>
    <xf numFmtId="0" fontId="1" fillId="0" borderId="33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5" fillId="0" borderId="0" xfId="0" applyFont="1"/>
    <xf numFmtId="0" fontId="11" fillId="8" borderId="1" xfId="0" applyFont="1" applyFill="1" applyBorder="1" applyAlignment="1">
      <alignment horizontal="center" vertical="center" wrapText="1"/>
    </xf>
    <xf numFmtId="0" fontId="11" fillId="6" borderId="342" xfId="0" applyFont="1" applyFill="1" applyBorder="1" applyAlignment="1">
      <alignment horizontal="center" vertical="center" wrapText="1"/>
    </xf>
    <xf numFmtId="0" fontId="11" fillId="6" borderId="343" xfId="0" applyFont="1" applyFill="1" applyBorder="1" applyAlignment="1">
      <alignment vertical="center" wrapText="1"/>
    </xf>
    <xf numFmtId="0" fontId="11" fillId="6" borderId="343" xfId="0" applyFont="1" applyFill="1" applyBorder="1" applyAlignment="1">
      <alignment horizontal="center" vertical="center" wrapText="1"/>
    </xf>
    <xf numFmtId="0" fontId="11" fillId="6" borderId="3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0" fontId="11" fillId="8" borderId="344" xfId="0" applyFont="1" applyFill="1" applyBorder="1" applyAlignment="1">
      <alignment horizontal="center" vertical="center" wrapText="1"/>
    </xf>
    <xf numFmtId="0" fontId="11" fillId="8" borderId="344" xfId="0" applyFont="1" applyFill="1" applyBorder="1" applyAlignment="1">
      <alignment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0" xfId="2" applyFont="1"/>
    <xf numFmtId="9" fontId="1" fillId="0" borderId="0" xfId="2" applyNumberFormat="1" applyFont="1"/>
    <xf numFmtId="0" fontId="1" fillId="0" borderId="340" xfId="2" applyFont="1" applyBorder="1"/>
    <xf numFmtId="0" fontId="1" fillId="0" borderId="339" xfId="2" applyFont="1" applyBorder="1"/>
    <xf numFmtId="0" fontId="1" fillId="0" borderId="338" xfId="2" applyFont="1" applyBorder="1" applyAlignment="1">
      <alignment vertical="center"/>
    </xf>
    <xf numFmtId="0" fontId="1" fillId="0" borderId="337" xfId="2" applyFont="1" applyBorder="1" applyAlignment="1">
      <alignment vertical="center"/>
    </xf>
    <xf numFmtId="2" fontId="3" fillId="3" borderId="338" xfId="2" applyNumberFormat="1" applyFont="1" applyFill="1" applyBorder="1" applyAlignment="1">
      <alignment vertical="center"/>
    </xf>
    <xf numFmtId="0" fontId="3" fillId="3" borderId="337" xfId="2" applyFont="1" applyFill="1" applyBorder="1" applyAlignment="1">
      <alignment vertical="center" wrapText="1"/>
    </xf>
    <xf numFmtId="2" fontId="1" fillId="0" borderId="338" xfId="2" applyNumberFormat="1" applyFont="1" applyBorder="1" applyAlignment="1">
      <alignment vertical="center"/>
    </xf>
    <xf numFmtId="1" fontId="1" fillId="0" borderId="338" xfId="2" applyNumberFormat="1" applyFont="1" applyBorder="1" applyAlignment="1">
      <alignment vertical="center"/>
    </xf>
    <xf numFmtId="15" fontId="1" fillId="0" borderId="338" xfId="2" applyNumberFormat="1" applyFont="1" applyBorder="1" applyAlignment="1">
      <alignment vertical="center"/>
    </xf>
    <xf numFmtId="0" fontId="1" fillId="0" borderId="338" xfId="2" applyFont="1" applyBorder="1" applyAlignment="1">
      <alignment horizontal="center" vertical="center"/>
    </xf>
    <xf numFmtId="0" fontId="1" fillId="0" borderId="336" xfId="2" applyFont="1" applyBorder="1" applyAlignment="1">
      <alignment horizontal="center" vertical="center"/>
    </xf>
    <xf numFmtId="0" fontId="1" fillId="0" borderId="335" xfId="2" applyFont="1" applyBorder="1" applyAlignment="1">
      <alignment vertical="center"/>
    </xf>
    <xf numFmtId="0" fontId="11" fillId="6" borderId="332" xfId="2" applyFont="1" applyFill="1" applyBorder="1" applyAlignment="1">
      <alignment horizontal="center"/>
    </xf>
    <xf numFmtId="0" fontId="11" fillId="6" borderId="331" xfId="2" applyFont="1" applyFill="1" applyBorder="1"/>
    <xf numFmtId="0" fontId="1" fillId="0" borderId="1" xfId="0" applyFont="1" applyBorder="1"/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left" vertical="center" wrapText="1"/>
    </xf>
    <xf numFmtId="0" fontId="1" fillId="9" borderId="0" xfId="0" applyFont="1" applyFill="1"/>
    <xf numFmtId="0" fontId="1" fillId="9" borderId="1" xfId="0" applyFont="1" applyFill="1" applyBorder="1"/>
    <xf numFmtId="0" fontId="17" fillId="0" borderId="0" xfId="3"/>
    <xf numFmtId="0" fontId="19" fillId="0" borderId="1" xfId="3" applyFont="1" applyBorder="1" applyAlignment="1">
      <alignment horizontal="left" vertical="center" wrapText="1"/>
    </xf>
    <xf numFmtId="0" fontId="17" fillId="0" borderId="1" xfId="3" applyBorder="1" applyAlignment="1">
      <alignment horizontal="center" vertical="center"/>
    </xf>
    <xf numFmtId="2" fontId="18" fillId="0" borderId="1" xfId="3" applyNumberFormat="1" applyFont="1" applyBorder="1" applyAlignment="1">
      <alignment horizontal="left" vertical="center" wrapText="1"/>
    </xf>
    <xf numFmtId="0" fontId="20" fillId="0" borderId="1" xfId="3" applyFont="1" applyBorder="1" applyAlignment="1">
      <alignment horizontal="center" vertical="center" wrapText="1"/>
    </xf>
    <xf numFmtId="2" fontId="20" fillId="0" borderId="1" xfId="3" applyNumberFormat="1" applyFont="1" applyBorder="1" applyAlignment="1">
      <alignment horizontal="left" vertical="center" wrapText="1"/>
    </xf>
    <xf numFmtId="0" fontId="18" fillId="0" borderId="1" xfId="3" applyFont="1" applyBorder="1" applyAlignment="1">
      <alignment horizontal="center" vertical="center" wrapText="1"/>
    </xf>
    <xf numFmtId="0" fontId="17" fillId="9" borderId="0" xfId="3" applyFill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9" borderId="0" xfId="3" applyFill="1" applyAlignment="1">
      <alignment horizontal="center" vertical="center" wrapText="1"/>
    </xf>
    <xf numFmtId="0" fontId="17" fillId="9" borderId="1" xfId="3" applyFill="1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 wrapText="1"/>
    </xf>
    <xf numFmtId="0" fontId="24" fillId="9" borderId="0" xfId="3" applyFont="1" applyFill="1" applyAlignment="1">
      <alignment horizontal="center" vertical="center" wrapText="1"/>
    </xf>
    <xf numFmtId="0" fontId="24" fillId="9" borderId="1" xfId="3" applyFont="1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17" fillId="9" borderId="343" xfId="3" applyFill="1" applyBorder="1" applyAlignment="1">
      <alignment horizontal="center" vertical="center" wrapText="1"/>
    </xf>
    <xf numFmtId="0" fontId="17" fillId="9" borderId="342" xfId="3" applyFill="1" applyBorder="1" applyAlignment="1">
      <alignment horizontal="center" vertical="center" wrapText="1"/>
    </xf>
    <xf numFmtId="0" fontId="17" fillId="9" borderId="341" xfId="3" applyFill="1" applyBorder="1" applyAlignment="1">
      <alignment horizontal="center" vertical="center"/>
    </xf>
    <xf numFmtId="0" fontId="17" fillId="9" borderId="341" xfId="3" applyFill="1" applyBorder="1" applyAlignment="1">
      <alignment horizontal="center" vertical="center" wrapText="1"/>
    </xf>
    <xf numFmtId="0" fontId="24" fillId="0" borderId="1" xfId="3" applyFont="1" applyBorder="1" applyAlignment="1">
      <alignment horizontal="center" vertical="center" wrapText="1"/>
    </xf>
    <xf numFmtId="0" fontId="24" fillId="9" borderId="341" xfId="3" applyFont="1" applyFill="1" applyBorder="1" applyAlignment="1">
      <alignment horizontal="center" vertical="center" wrapText="1"/>
    </xf>
    <xf numFmtId="0" fontId="17" fillId="0" borderId="1" xfId="3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49" fontId="17" fillId="10" borderId="1" xfId="3" applyNumberFormat="1" applyFill="1" applyBorder="1" applyAlignment="1">
      <alignment horizontal="center" vertical="center"/>
    </xf>
    <xf numFmtId="0" fontId="17" fillId="10" borderId="1" xfId="3" applyFill="1" applyBorder="1" applyAlignment="1">
      <alignment horizontal="center" vertical="center"/>
    </xf>
    <xf numFmtId="49" fontId="17" fillId="9" borderId="1" xfId="3" applyNumberFormat="1" applyFill="1" applyBorder="1" applyAlignment="1">
      <alignment horizontal="center" vertical="center"/>
    </xf>
    <xf numFmtId="2" fontId="18" fillId="9" borderId="1" xfId="3" applyNumberFormat="1" applyFont="1" applyFill="1" applyBorder="1" applyAlignment="1">
      <alignment horizontal="left" vertical="center" wrapText="1"/>
    </xf>
    <xf numFmtId="0" fontId="18" fillId="9" borderId="1" xfId="3" applyFont="1" applyFill="1" applyBorder="1" applyAlignment="1">
      <alignment horizontal="center" vertical="center" wrapText="1"/>
    </xf>
    <xf numFmtId="0" fontId="21" fillId="9" borderId="1" xfId="3" applyFont="1" applyFill="1" applyBorder="1" applyAlignment="1">
      <alignment horizontal="center" vertical="center"/>
    </xf>
    <xf numFmtId="0" fontId="18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ont="1" applyFill="1" applyBorder="1" applyAlignment="1">
      <alignment horizontal="center" vertical="center"/>
    </xf>
    <xf numFmtId="0" fontId="17" fillId="0" borderId="1" xfId="3" applyFont="1" applyBorder="1" applyAlignment="1">
      <alignment horizontal="center" vertical="center"/>
    </xf>
    <xf numFmtId="0" fontId="17" fillId="0" borderId="1" xfId="3" applyFont="1" applyBorder="1" applyAlignment="1">
      <alignment horizontal="center" vertical="center" wrapText="1"/>
    </xf>
    <xf numFmtId="0" fontId="17" fillId="9" borderId="1" xfId="3" applyFont="1" applyFill="1" applyBorder="1" applyAlignment="1">
      <alignment horizontal="center"/>
    </xf>
    <xf numFmtId="0" fontId="17" fillId="0" borderId="1" xfId="3" applyFont="1" applyBorder="1" applyAlignment="1">
      <alignment horizontal="center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3" fillId="7" borderId="0" xfId="2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17" fillId="2" borderId="1" xfId="3" applyFill="1" applyBorder="1" applyAlignment="1">
      <alignment horizontal="center" vertical="center"/>
    </xf>
    <xf numFmtId="0" fontId="17" fillId="2" borderId="1" xfId="3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24" fillId="9" borderId="1" xfId="3" applyFont="1" applyFill="1" applyBorder="1" applyAlignment="1">
      <alignment horizontal="center" vertical="center" wrapText="1"/>
    </xf>
    <xf numFmtId="0" fontId="17" fillId="0" borderId="1" xfId="3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2" xfId="2" xr:uid="{B2821FF3-A614-42F2-9D72-74CF5E7E69E4}"/>
    <cellStyle name="Normal 3" xfId="3" xr:uid="{4DAEA1B4-6DF1-4E30-9CE4-0486FE4FA793}"/>
  </cellStyles>
  <dxfs count="11"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Franklin Gothic Book"/>
        <family val="2"/>
        <scheme val="none"/>
      </font>
      <fill>
        <patternFill patternType="solid">
          <fgColor indexed="64"/>
          <bgColor theme="8" tint="-0.249977111117893"/>
        </patternFill>
      </fill>
      <alignment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B:\Clients\Ranger\Scheduling\Allocated_W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179069</xdr:rowOff>
    </xdr:from>
    <xdr:to>
      <xdr:col>17</xdr:col>
      <xdr:colOff>575310</xdr:colOff>
      <xdr:row>28</xdr:row>
      <xdr:rowOff>179069</xdr:rowOff>
    </xdr:to>
    <xdr:pic>
      <xdr:nvPicPr>
        <xdr:cNvPr id="20" name="Allocation">
          <a:extLst>
            <a:ext uri="{FF2B5EF4-FFF2-40B4-BE49-F238E27FC236}">
              <a16:creationId xmlns:a16="http://schemas.microsoft.com/office/drawing/2014/main" id="{8F454441-C8D9-46FA-B681-935BE796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1450" y="537209"/>
          <a:ext cx="9841230" cy="46558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321945</xdr:colOff>
      <xdr:row>10</xdr:row>
      <xdr:rowOff>22225</xdr:rowOff>
    </xdr:from>
    <xdr:to>
      <xdr:col>14</xdr:col>
      <xdr:colOff>410845</xdr:colOff>
      <xdr:row>10</xdr:row>
      <xdr:rowOff>177800</xdr:rowOff>
    </xdr:to>
    <xdr:sp macro="" textlink="">
      <xdr:nvSpPr>
        <xdr:cNvPr id="2" name="U-Turn Arrow 30">
          <a:extLst>
            <a:ext uri="{FF2B5EF4-FFF2-40B4-BE49-F238E27FC236}">
              <a16:creationId xmlns:a16="http://schemas.microsoft.com/office/drawing/2014/main" id="{3158E416-248C-40FC-BFB5-86F82EB35E84}"/>
            </a:ext>
          </a:extLst>
        </xdr:cNvPr>
        <xdr:cNvSpPr/>
      </xdr:nvSpPr>
      <xdr:spPr>
        <a:xfrm rot="10800000">
          <a:off x="5122545" y="2022475"/>
          <a:ext cx="4889500" cy="155575"/>
        </a:xfrm>
        <a:prstGeom prst="uturnArrow">
          <a:avLst>
            <a:gd name="adj1" fmla="val 24886"/>
            <a:gd name="adj2" fmla="val 20618"/>
            <a:gd name="adj3" fmla="val 37432"/>
            <a:gd name="adj4" fmla="val 57328"/>
            <a:gd name="adj5" fmla="val 9020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528320</xdr:colOff>
      <xdr:row>8</xdr:row>
      <xdr:rowOff>75565</xdr:rowOff>
    </xdr:from>
    <xdr:to>
      <xdr:col>14</xdr:col>
      <xdr:colOff>160655</xdr:colOff>
      <xdr:row>8</xdr:row>
      <xdr:rowOff>184150</xdr:rowOff>
    </xdr:to>
    <xdr:sp macro="" textlink="">
      <xdr:nvSpPr>
        <xdr:cNvPr id="3" name="Right Arrow 31">
          <a:extLst>
            <a:ext uri="{FF2B5EF4-FFF2-40B4-BE49-F238E27FC236}">
              <a16:creationId xmlns:a16="http://schemas.microsoft.com/office/drawing/2014/main" id="{0E7C1096-D04F-4C8F-81A1-6EBE5341D42C}"/>
            </a:ext>
          </a:extLst>
        </xdr:cNvPr>
        <xdr:cNvSpPr/>
      </xdr:nvSpPr>
      <xdr:spPr>
        <a:xfrm>
          <a:off x="9443720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325755</xdr:colOff>
      <xdr:row>6</xdr:row>
      <xdr:rowOff>67310</xdr:rowOff>
    </xdr:from>
    <xdr:to>
      <xdr:col>7</xdr:col>
      <xdr:colOff>400050</xdr:colOff>
      <xdr:row>8</xdr:row>
      <xdr:rowOff>116840</xdr:rowOff>
    </xdr:to>
    <xdr:sp macro="" textlink="">
      <xdr:nvSpPr>
        <xdr:cNvPr id="4" name="Down Arrow 32">
          <a:extLst>
            <a:ext uri="{FF2B5EF4-FFF2-40B4-BE49-F238E27FC236}">
              <a16:creationId xmlns:a16="http://schemas.microsoft.com/office/drawing/2014/main" id="{D9771AC5-4B8F-4FF2-A997-C4FC400B2B6B}"/>
            </a:ext>
          </a:extLst>
        </xdr:cNvPr>
        <xdr:cNvSpPr/>
      </xdr:nvSpPr>
      <xdr:spPr>
        <a:xfrm rot="10800000">
          <a:off x="5126355" y="126746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361950</xdr:colOff>
      <xdr:row>11</xdr:row>
      <xdr:rowOff>17145</xdr:rowOff>
    </xdr:from>
    <xdr:to>
      <xdr:col>9</xdr:col>
      <xdr:colOff>453390</xdr:colOff>
      <xdr:row>12</xdr:row>
      <xdr:rowOff>29210</xdr:rowOff>
    </xdr:to>
    <xdr:sp macro="" textlink="">
      <xdr:nvSpPr>
        <xdr:cNvPr id="5" name="U-Turn Arrow 33">
          <a:extLst>
            <a:ext uri="{FF2B5EF4-FFF2-40B4-BE49-F238E27FC236}">
              <a16:creationId xmlns:a16="http://schemas.microsoft.com/office/drawing/2014/main" id="{F9323985-769D-413A-ADF7-74C2B4F782A7}"/>
            </a:ext>
          </a:extLst>
        </xdr:cNvPr>
        <xdr:cNvSpPr/>
      </xdr:nvSpPr>
      <xdr:spPr>
        <a:xfrm flipV="1">
          <a:off x="5162550" y="2217420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527685</xdr:colOff>
      <xdr:row>6</xdr:row>
      <xdr:rowOff>50800</xdr:rowOff>
    </xdr:from>
    <xdr:to>
      <xdr:col>8</xdr:col>
      <xdr:colOff>160020</xdr:colOff>
      <xdr:row>6</xdr:row>
      <xdr:rowOff>159385</xdr:rowOff>
    </xdr:to>
    <xdr:sp macro="" textlink="">
      <xdr:nvSpPr>
        <xdr:cNvPr id="6" name="Right Arrow 34">
          <a:extLst>
            <a:ext uri="{FF2B5EF4-FFF2-40B4-BE49-F238E27FC236}">
              <a16:creationId xmlns:a16="http://schemas.microsoft.com/office/drawing/2014/main" id="{1831E29D-084F-4DD3-A3E0-6F03AA190BE5}"/>
            </a:ext>
          </a:extLst>
        </xdr:cNvPr>
        <xdr:cNvSpPr/>
      </xdr:nvSpPr>
      <xdr:spPr>
        <a:xfrm>
          <a:off x="5328285" y="125095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8</xdr:col>
      <xdr:colOff>535940</xdr:colOff>
      <xdr:row>6</xdr:row>
      <xdr:rowOff>34290</xdr:rowOff>
    </xdr:from>
    <xdr:to>
      <xdr:col>9</xdr:col>
      <xdr:colOff>168275</xdr:colOff>
      <xdr:row>6</xdr:row>
      <xdr:rowOff>142875</xdr:rowOff>
    </xdr:to>
    <xdr:sp macro="" textlink="">
      <xdr:nvSpPr>
        <xdr:cNvPr id="7" name="Right Arrow 35">
          <a:extLst>
            <a:ext uri="{FF2B5EF4-FFF2-40B4-BE49-F238E27FC236}">
              <a16:creationId xmlns:a16="http://schemas.microsoft.com/office/drawing/2014/main" id="{B6FECD28-07AF-40C8-A7B0-97B238F185D4}"/>
            </a:ext>
          </a:extLst>
        </xdr:cNvPr>
        <xdr:cNvSpPr/>
      </xdr:nvSpPr>
      <xdr:spPr>
        <a:xfrm>
          <a:off x="6022340" y="123444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312420</xdr:colOff>
      <xdr:row>6</xdr:row>
      <xdr:rowOff>92075</xdr:rowOff>
    </xdr:from>
    <xdr:to>
      <xdr:col>10</xdr:col>
      <xdr:colOff>386715</xdr:colOff>
      <xdr:row>8</xdr:row>
      <xdr:rowOff>141605</xdr:rowOff>
    </xdr:to>
    <xdr:sp macro="" textlink="">
      <xdr:nvSpPr>
        <xdr:cNvPr id="8" name="Down Arrow 36">
          <a:extLst>
            <a:ext uri="{FF2B5EF4-FFF2-40B4-BE49-F238E27FC236}">
              <a16:creationId xmlns:a16="http://schemas.microsoft.com/office/drawing/2014/main" id="{BE5DD8AC-F111-4447-AF6B-47A966F111C7}"/>
            </a:ext>
          </a:extLst>
        </xdr:cNvPr>
        <xdr:cNvSpPr/>
      </xdr:nvSpPr>
      <xdr:spPr>
        <a:xfrm rot="10800000">
          <a:off x="7170420" y="1292225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518795</xdr:colOff>
      <xdr:row>6</xdr:row>
      <xdr:rowOff>27305</xdr:rowOff>
    </xdr:from>
    <xdr:to>
      <xdr:col>4</xdr:col>
      <xdr:colOff>151130</xdr:colOff>
      <xdr:row>6</xdr:row>
      <xdr:rowOff>135890</xdr:rowOff>
    </xdr:to>
    <xdr:sp macro="" textlink="">
      <xdr:nvSpPr>
        <xdr:cNvPr id="9" name="Right Arrow 37">
          <a:extLst>
            <a:ext uri="{FF2B5EF4-FFF2-40B4-BE49-F238E27FC236}">
              <a16:creationId xmlns:a16="http://schemas.microsoft.com/office/drawing/2014/main" id="{F888E6F0-AF00-4DE3-8948-EE4D89AD4118}"/>
            </a:ext>
          </a:extLst>
        </xdr:cNvPr>
        <xdr:cNvSpPr/>
      </xdr:nvSpPr>
      <xdr:spPr>
        <a:xfrm rot="10800000">
          <a:off x="2576195" y="122745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540385</xdr:colOff>
      <xdr:row>6</xdr:row>
      <xdr:rowOff>34925</xdr:rowOff>
    </xdr:from>
    <xdr:to>
      <xdr:col>5</xdr:col>
      <xdr:colOff>172720</xdr:colOff>
      <xdr:row>6</xdr:row>
      <xdr:rowOff>143510</xdr:rowOff>
    </xdr:to>
    <xdr:sp macro="" textlink="">
      <xdr:nvSpPr>
        <xdr:cNvPr id="10" name="Right Arrow 38">
          <a:extLst>
            <a:ext uri="{FF2B5EF4-FFF2-40B4-BE49-F238E27FC236}">
              <a16:creationId xmlns:a16="http://schemas.microsoft.com/office/drawing/2014/main" id="{29B736BD-1491-4A2C-911C-AA1982ABC3E9}"/>
            </a:ext>
          </a:extLst>
        </xdr:cNvPr>
        <xdr:cNvSpPr/>
      </xdr:nvSpPr>
      <xdr:spPr>
        <a:xfrm>
          <a:off x="3283585" y="12350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316230</xdr:colOff>
      <xdr:row>4</xdr:row>
      <xdr:rowOff>27940</xdr:rowOff>
    </xdr:from>
    <xdr:to>
      <xdr:col>10</xdr:col>
      <xdr:colOff>369570</xdr:colOff>
      <xdr:row>4</xdr:row>
      <xdr:rowOff>158115</xdr:rowOff>
    </xdr:to>
    <xdr:sp macro="" textlink="">
      <xdr:nvSpPr>
        <xdr:cNvPr id="11" name="U-Turn Arrow 39">
          <a:extLst>
            <a:ext uri="{FF2B5EF4-FFF2-40B4-BE49-F238E27FC236}">
              <a16:creationId xmlns:a16="http://schemas.microsoft.com/office/drawing/2014/main" id="{949F4594-3247-4E31-831F-F9A4049A67E2}"/>
            </a:ext>
          </a:extLst>
        </xdr:cNvPr>
        <xdr:cNvSpPr/>
      </xdr:nvSpPr>
      <xdr:spPr>
        <a:xfrm rot="10800000" flipH="1" flipV="1">
          <a:off x="2373630" y="828040"/>
          <a:ext cx="4853940" cy="13017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311150</xdr:colOff>
      <xdr:row>6</xdr:row>
      <xdr:rowOff>68580</xdr:rowOff>
    </xdr:from>
    <xdr:to>
      <xdr:col>3</xdr:col>
      <xdr:colOff>385445</xdr:colOff>
      <xdr:row>8</xdr:row>
      <xdr:rowOff>118110</xdr:rowOff>
    </xdr:to>
    <xdr:sp macro="" textlink="">
      <xdr:nvSpPr>
        <xdr:cNvPr id="12" name="Down Arrow 40">
          <a:extLst>
            <a:ext uri="{FF2B5EF4-FFF2-40B4-BE49-F238E27FC236}">
              <a16:creationId xmlns:a16="http://schemas.microsoft.com/office/drawing/2014/main" id="{9B0FBDEA-E5F6-4D6C-9B32-C0864ADB39E7}"/>
            </a:ext>
          </a:extLst>
        </xdr:cNvPr>
        <xdr:cNvSpPr/>
      </xdr:nvSpPr>
      <xdr:spPr>
        <a:xfrm>
          <a:off x="23685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528320</xdr:colOff>
      <xdr:row>6</xdr:row>
      <xdr:rowOff>22225</xdr:rowOff>
    </xdr:from>
    <xdr:to>
      <xdr:col>2</xdr:col>
      <xdr:colOff>160655</xdr:colOff>
      <xdr:row>6</xdr:row>
      <xdr:rowOff>130810</xdr:rowOff>
    </xdr:to>
    <xdr:sp macro="" textlink="">
      <xdr:nvSpPr>
        <xdr:cNvPr id="13" name="Right Arrow 41">
          <a:extLst>
            <a:ext uri="{FF2B5EF4-FFF2-40B4-BE49-F238E27FC236}">
              <a16:creationId xmlns:a16="http://schemas.microsoft.com/office/drawing/2014/main" id="{5E957EF2-7149-4201-9BC6-010D82B50710}"/>
            </a:ext>
          </a:extLst>
        </xdr:cNvPr>
        <xdr:cNvSpPr/>
      </xdr:nvSpPr>
      <xdr:spPr>
        <a:xfrm>
          <a:off x="1214120" y="12223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410845</xdr:colOff>
      <xdr:row>4</xdr:row>
      <xdr:rowOff>27305</xdr:rowOff>
    </xdr:from>
    <xdr:to>
      <xdr:col>3</xdr:col>
      <xdr:colOff>276860</xdr:colOff>
      <xdr:row>4</xdr:row>
      <xdr:rowOff>171450</xdr:rowOff>
    </xdr:to>
    <xdr:sp macro="" textlink="">
      <xdr:nvSpPr>
        <xdr:cNvPr id="14" name="U-Turn Arrow 42">
          <a:extLst>
            <a:ext uri="{FF2B5EF4-FFF2-40B4-BE49-F238E27FC236}">
              <a16:creationId xmlns:a16="http://schemas.microsoft.com/office/drawing/2014/main" id="{5722EAA0-B292-44FF-9459-C8E18C95E417}"/>
            </a:ext>
          </a:extLst>
        </xdr:cNvPr>
        <xdr:cNvSpPr/>
      </xdr:nvSpPr>
      <xdr:spPr>
        <a:xfrm rot="10800000" flipH="1" flipV="1">
          <a:off x="1096645" y="827405"/>
          <a:ext cx="1237615" cy="14414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318135</xdr:colOff>
      <xdr:row>6</xdr:row>
      <xdr:rowOff>74930</xdr:rowOff>
    </xdr:from>
    <xdr:to>
      <xdr:col>2</xdr:col>
      <xdr:colOff>392430</xdr:colOff>
      <xdr:row>8</xdr:row>
      <xdr:rowOff>124460</xdr:rowOff>
    </xdr:to>
    <xdr:sp macro="" textlink="">
      <xdr:nvSpPr>
        <xdr:cNvPr id="15" name="Down Arrow 43">
          <a:extLst>
            <a:ext uri="{FF2B5EF4-FFF2-40B4-BE49-F238E27FC236}">
              <a16:creationId xmlns:a16="http://schemas.microsoft.com/office/drawing/2014/main" id="{6D412E4F-593C-4F86-96B0-CED382CB7C40}"/>
            </a:ext>
          </a:extLst>
        </xdr:cNvPr>
        <xdr:cNvSpPr/>
      </xdr:nvSpPr>
      <xdr:spPr>
        <a:xfrm>
          <a:off x="1689735" y="127508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</xdr:col>
      <xdr:colOff>527685</xdr:colOff>
      <xdr:row>8</xdr:row>
      <xdr:rowOff>74930</xdr:rowOff>
    </xdr:from>
    <xdr:to>
      <xdr:col>3</xdr:col>
      <xdr:colOff>160020</xdr:colOff>
      <xdr:row>8</xdr:row>
      <xdr:rowOff>183515</xdr:rowOff>
    </xdr:to>
    <xdr:sp macro="" textlink="">
      <xdr:nvSpPr>
        <xdr:cNvPr id="16" name="Right Arrow 44">
          <a:extLst>
            <a:ext uri="{FF2B5EF4-FFF2-40B4-BE49-F238E27FC236}">
              <a16:creationId xmlns:a16="http://schemas.microsoft.com/office/drawing/2014/main" id="{377C5CCA-DF0B-40AD-8E58-10824CC63D5E}"/>
            </a:ext>
          </a:extLst>
        </xdr:cNvPr>
        <xdr:cNvSpPr/>
      </xdr:nvSpPr>
      <xdr:spPr>
        <a:xfrm>
          <a:off x="1899285" y="16751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527685</xdr:colOff>
      <xdr:row>8</xdr:row>
      <xdr:rowOff>62230</xdr:rowOff>
    </xdr:from>
    <xdr:to>
      <xdr:col>4</xdr:col>
      <xdr:colOff>160020</xdr:colOff>
      <xdr:row>8</xdr:row>
      <xdr:rowOff>170815</xdr:rowOff>
    </xdr:to>
    <xdr:sp macro="" textlink="">
      <xdr:nvSpPr>
        <xdr:cNvPr id="17" name="Right Arrow 45">
          <a:extLst>
            <a:ext uri="{FF2B5EF4-FFF2-40B4-BE49-F238E27FC236}">
              <a16:creationId xmlns:a16="http://schemas.microsoft.com/office/drawing/2014/main" id="{CA335E1F-BFE9-40F6-ABD6-6F2B9C46BC74}"/>
            </a:ext>
          </a:extLst>
        </xdr:cNvPr>
        <xdr:cNvSpPr/>
      </xdr:nvSpPr>
      <xdr:spPr>
        <a:xfrm>
          <a:off x="2585085" y="16624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527685</xdr:colOff>
      <xdr:row>8</xdr:row>
      <xdr:rowOff>69215</xdr:rowOff>
    </xdr:from>
    <xdr:to>
      <xdr:col>5</xdr:col>
      <xdr:colOff>160020</xdr:colOff>
      <xdr:row>8</xdr:row>
      <xdr:rowOff>177800</xdr:rowOff>
    </xdr:to>
    <xdr:sp macro="" textlink="">
      <xdr:nvSpPr>
        <xdr:cNvPr id="18" name="Right Arrow 46">
          <a:extLst>
            <a:ext uri="{FF2B5EF4-FFF2-40B4-BE49-F238E27FC236}">
              <a16:creationId xmlns:a16="http://schemas.microsoft.com/office/drawing/2014/main" id="{9A918187-FB49-416C-B791-F9AC1BEA0E76}"/>
            </a:ext>
          </a:extLst>
        </xdr:cNvPr>
        <xdr:cNvSpPr/>
      </xdr:nvSpPr>
      <xdr:spPr>
        <a:xfrm>
          <a:off x="3270885" y="16694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520065</xdr:colOff>
      <xdr:row>8</xdr:row>
      <xdr:rowOff>75565</xdr:rowOff>
    </xdr:from>
    <xdr:to>
      <xdr:col>6</xdr:col>
      <xdr:colOff>152400</xdr:colOff>
      <xdr:row>8</xdr:row>
      <xdr:rowOff>184150</xdr:rowOff>
    </xdr:to>
    <xdr:sp macro="" textlink="">
      <xdr:nvSpPr>
        <xdr:cNvPr id="19" name="Right Arrow 47">
          <a:extLst>
            <a:ext uri="{FF2B5EF4-FFF2-40B4-BE49-F238E27FC236}">
              <a16:creationId xmlns:a16="http://schemas.microsoft.com/office/drawing/2014/main" id="{88F9B1BB-A69B-4F36-B0D5-C8CFE830F4CD}"/>
            </a:ext>
          </a:extLst>
        </xdr:cNvPr>
        <xdr:cNvSpPr/>
      </xdr:nvSpPr>
      <xdr:spPr>
        <a:xfrm>
          <a:off x="3949065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317500</xdr:colOff>
      <xdr:row>12</xdr:row>
      <xdr:rowOff>46355</xdr:rowOff>
    </xdr:from>
    <xdr:to>
      <xdr:col>8</xdr:col>
      <xdr:colOff>408940</xdr:colOff>
      <xdr:row>13</xdr:row>
      <xdr:rowOff>58420</xdr:rowOff>
    </xdr:to>
    <xdr:sp macro="" textlink="">
      <xdr:nvSpPr>
        <xdr:cNvPr id="20" name="U-Turn Arrow 48">
          <a:extLst>
            <a:ext uri="{FF2B5EF4-FFF2-40B4-BE49-F238E27FC236}">
              <a16:creationId xmlns:a16="http://schemas.microsoft.com/office/drawing/2014/main" id="{7CACF09D-BB85-4941-A0C2-623E26411F48}"/>
            </a:ext>
          </a:extLst>
        </xdr:cNvPr>
        <xdr:cNvSpPr/>
      </xdr:nvSpPr>
      <xdr:spPr>
        <a:xfrm flipV="1">
          <a:off x="4432300" y="2446655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514350</xdr:colOff>
      <xdr:row>6</xdr:row>
      <xdr:rowOff>41910</xdr:rowOff>
    </xdr:from>
    <xdr:to>
      <xdr:col>6</xdr:col>
      <xdr:colOff>146685</xdr:colOff>
      <xdr:row>6</xdr:row>
      <xdr:rowOff>150495</xdr:rowOff>
    </xdr:to>
    <xdr:sp macro="" textlink="">
      <xdr:nvSpPr>
        <xdr:cNvPr id="21" name="Right Arrow 49">
          <a:extLst>
            <a:ext uri="{FF2B5EF4-FFF2-40B4-BE49-F238E27FC236}">
              <a16:creationId xmlns:a16="http://schemas.microsoft.com/office/drawing/2014/main" id="{C612D776-F50F-46A8-817C-FB85288C5F6B}"/>
            </a:ext>
          </a:extLst>
        </xdr:cNvPr>
        <xdr:cNvSpPr/>
      </xdr:nvSpPr>
      <xdr:spPr>
        <a:xfrm>
          <a:off x="3943350" y="124206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360045</xdr:colOff>
      <xdr:row>7</xdr:row>
      <xdr:rowOff>71755</xdr:rowOff>
    </xdr:from>
    <xdr:to>
      <xdr:col>8</xdr:col>
      <xdr:colOff>346075</xdr:colOff>
      <xdr:row>7</xdr:row>
      <xdr:rowOff>154305</xdr:rowOff>
    </xdr:to>
    <xdr:sp macro="" textlink="">
      <xdr:nvSpPr>
        <xdr:cNvPr id="22" name="Up Arrow 50">
          <a:extLst>
            <a:ext uri="{FF2B5EF4-FFF2-40B4-BE49-F238E27FC236}">
              <a16:creationId xmlns:a16="http://schemas.microsoft.com/office/drawing/2014/main" id="{E5C38343-1C61-4E86-AD6F-904042638C66}"/>
            </a:ext>
          </a:extLst>
        </xdr:cNvPr>
        <xdr:cNvSpPr/>
      </xdr:nvSpPr>
      <xdr:spPr>
        <a:xfrm rot="6660000">
          <a:off x="5112385" y="834390"/>
          <a:ext cx="82550" cy="135763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521335</xdr:colOff>
      <xdr:row>8</xdr:row>
      <xdr:rowOff>81915</xdr:rowOff>
    </xdr:from>
    <xdr:to>
      <xdr:col>8</xdr:col>
      <xdr:colOff>153670</xdr:colOff>
      <xdr:row>8</xdr:row>
      <xdr:rowOff>190500</xdr:rowOff>
    </xdr:to>
    <xdr:sp macro="" textlink="">
      <xdr:nvSpPr>
        <xdr:cNvPr id="23" name="Right Arrow 51">
          <a:extLst>
            <a:ext uri="{FF2B5EF4-FFF2-40B4-BE49-F238E27FC236}">
              <a16:creationId xmlns:a16="http://schemas.microsoft.com/office/drawing/2014/main" id="{58434DAA-FA5F-4534-8A5B-3C0922B6DD04}"/>
            </a:ext>
          </a:extLst>
        </xdr:cNvPr>
        <xdr:cNvSpPr/>
      </xdr:nvSpPr>
      <xdr:spPr>
        <a:xfrm rot="10800000">
          <a:off x="5321935" y="16821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527050</xdr:colOff>
      <xdr:row>8</xdr:row>
      <xdr:rowOff>88265</xdr:rowOff>
    </xdr:from>
    <xdr:to>
      <xdr:col>10</xdr:col>
      <xdr:colOff>159385</xdr:colOff>
      <xdr:row>8</xdr:row>
      <xdr:rowOff>196850</xdr:rowOff>
    </xdr:to>
    <xdr:sp macro="" textlink="">
      <xdr:nvSpPr>
        <xdr:cNvPr id="24" name="Right Arrow 52">
          <a:extLst>
            <a:ext uri="{FF2B5EF4-FFF2-40B4-BE49-F238E27FC236}">
              <a16:creationId xmlns:a16="http://schemas.microsoft.com/office/drawing/2014/main" id="{E12A2C7E-40C5-42AB-9FE3-6501F1982DAF}"/>
            </a:ext>
          </a:extLst>
        </xdr:cNvPr>
        <xdr:cNvSpPr/>
      </xdr:nvSpPr>
      <xdr:spPr>
        <a:xfrm>
          <a:off x="6699250" y="16884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553720</xdr:colOff>
      <xdr:row>6</xdr:row>
      <xdr:rowOff>15875</xdr:rowOff>
    </xdr:from>
    <xdr:to>
      <xdr:col>11</xdr:col>
      <xdr:colOff>186055</xdr:colOff>
      <xdr:row>6</xdr:row>
      <xdr:rowOff>124460</xdr:rowOff>
    </xdr:to>
    <xdr:sp macro="" textlink="">
      <xdr:nvSpPr>
        <xdr:cNvPr id="25" name="Right Arrow 53">
          <a:extLst>
            <a:ext uri="{FF2B5EF4-FFF2-40B4-BE49-F238E27FC236}">
              <a16:creationId xmlns:a16="http://schemas.microsoft.com/office/drawing/2014/main" id="{3193E165-FC4B-4EB4-A9B3-1A6330BC914D}"/>
            </a:ext>
          </a:extLst>
        </xdr:cNvPr>
        <xdr:cNvSpPr/>
      </xdr:nvSpPr>
      <xdr:spPr>
        <a:xfrm>
          <a:off x="7411720" y="12160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351790</xdr:colOff>
      <xdr:row>7</xdr:row>
      <xdr:rowOff>60960</xdr:rowOff>
    </xdr:from>
    <xdr:to>
      <xdr:col>11</xdr:col>
      <xdr:colOff>417830</xdr:colOff>
      <xdr:row>7</xdr:row>
      <xdr:rowOff>137160</xdr:rowOff>
    </xdr:to>
    <xdr:sp macro="" textlink="">
      <xdr:nvSpPr>
        <xdr:cNvPr id="26" name="Left-Right Arrow 54">
          <a:extLst>
            <a:ext uri="{FF2B5EF4-FFF2-40B4-BE49-F238E27FC236}">
              <a16:creationId xmlns:a16="http://schemas.microsoft.com/office/drawing/2014/main" id="{326D5B8D-7ACB-4F62-89B4-083781DD0FD8}"/>
            </a:ext>
          </a:extLst>
        </xdr:cNvPr>
        <xdr:cNvSpPr/>
      </xdr:nvSpPr>
      <xdr:spPr>
        <a:xfrm rot="18900000">
          <a:off x="7209790" y="1461135"/>
          <a:ext cx="751840" cy="7620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323850</xdr:colOff>
      <xdr:row>6</xdr:row>
      <xdr:rowOff>68580</xdr:rowOff>
    </xdr:from>
    <xdr:to>
      <xdr:col>9</xdr:col>
      <xdr:colOff>398145</xdr:colOff>
      <xdr:row>8</xdr:row>
      <xdr:rowOff>118110</xdr:rowOff>
    </xdr:to>
    <xdr:sp macro="" textlink="">
      <xdr:nvSpPr>
        <xdr:cNvPr id="27" name="Down Arrow 55">
          <a:extLst>
            <a:ext uri="{FF2B5EF4-FFF2-40B4-BE49-F238E27FC236}">
              <a16:creationId xmlns:a16="http://schemas.microsoft.com/office/drawing/2014/main" id="{9A877690-7B05-40E1-A4D2-CE7EEA5FEF45}"/>
            </a:ext>
          </a:extLst>
        </xdr:cNvPr>
        <xdr:cNvSpPr/>
      </xdr:nvSpPr>
      <xdr:spPr>
        <a:xfrm>
          <a:off x="64960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316865</xdr:colOff>
      <xdr:row>6</xdr:row>
      <xdr:rowOff>68580</xdr:rowOff>
    </xdr:from>
    <xdr:to>
      <xdr:col>12</xdr:col>
      <xdr:colOff>391160</xdr:colOff>
      <xdr:row>8</xdr:row>
      <xdr:rowOff>118110</xdr:rowOff>
    </xdr:to>
    <xdr:sp macro="" textlink="">
      <xdr:nvSpPr>
        <xdr:cNvPr id="28" name="Down Arrow 56">
          <a:extLst>
            <a:ext uri="{FF2B5EF4-FFF2-40B4-BE49-F238E27FC236}">
              <a16:creationId xmlns:a16="http://schemas.microsoft.com/office/drawing/2014/main" id="{0420D706-E030-47D9-B42C-B8A1F2421B9F}"/>
            </a:ext>
          </a:extLst>
        </xdr:cNvPr>
        <xdr:cNvSpPr/>
      </xdr:nvSpPr>
      <xdr:spPr>
        <a:xfrm>
          <a:off x="8546465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295275</xdr:colOff>
      <xdr:row>3</xdr:row>
      <xdr:rowOff>34925</xdr:rowOff>
    </xdr:from>
    <xdr:to>
      <xdr:col>13</xdr:col>
      <xdr:colOff>313690</xdr:colOff>
      <xdr:row>3</xdr:row>
      <xdr:rowOff>196850</xdr:rowOff>
    </xdr:to>
    <xdr:sp macro="" textlink="">
      <xdr:nvSpPr>
        <xdr:cNvPr id="29" name="U-Turn Arrow 57">
          <a:extLst>
            <a:ext uri="{FF2B5EF4-FFF2-40B4-BE49-F238E27FC236}">
              <a16:creationId xmlns:a16="http://schemas.microsoft.com/office/drawing/2014/main" id="{162E44B0-B73E-45A7-8C31-E487F1DA3FCC}"/>
            </a:ext>
          </a:extLst>
        </xdr:cNvPr>
        <xdr:cNvSpPr/>
      </xdr:nvSpPr>
      <xdr:spPr>
        <a:xfrm rot="10800000" flipV="1">
          <a:off x="3038475" y="635000"/>
          <a:ext cx="6190615" cy="16192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309245</xdr:colOff>
      <xdr:row>4</xdr:row>
      <xdr:rowOff>35560</xdr:rowOff>
    </xdr:from>
    <xdr:to>
      <xdr:col>14</xdr:col>
      <xdr:colOff>332740</xdr:colOff>
      <xdr:row>4</xdr:row>
      <xdr:rowOff>173990</xdr:rowOff>
    </xdr:to>
    <xdr:sp macro="" textlink="">
      <xdr:nvSpPr>
        <xdr:cNvPr id="30" name="U-Turn Arrow 58">
          <a:extLst>
            <a:ext uri="{FF2B5EF4-FFF2-40B4-BE49-F238E27FC236}">
              <a16:creationId xmlns:a16="http://schemas.microsoft.com/office/drawing/2014/main" id="{F94F4F56-C29C-40ED-823F-8702CAEA6EEA}"/>
            </a:ext>
          </a:extLst>
        </xdr:cNvPr>
        <xdr:cNvSpPr/>
      </xdr:nvSpPr>
      <xdr:spPr>
        <a:xfrm rot="10800000" flipV="1">
          <a:off x="7853045" y="835660"/>
          <a:ext cx="2080895" cy="13843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541020</xdr:colOff>
      <xdr:row>6</xdr:row>
      <xdr:rowOff>28575</xdr:rowOff>
    </xdr:from>
    <xdr:to>
      <xdr:col>14</xdr:col>
      <xdr:colOff>173355</xdr:colOff>
      <xdr:row>6</xdr:row>
      <xdr:rowOff>137160</xdr:rowOff>
    </xdr:to>
    <xdr:sp macro="" textlink="">
      <xdr:nvSpPr>
        <xdr:cNvPr id="31" name="Right Arrow 59">
          <a:extLst>
            <a:ext uri="{FF2B5EF4-FFF2-40B4-BE49-F238E27FC236}">
              <a16:creationId xmlns:a16="http://schemas.microsoft.com/office/drawing/2014/main" id="{E1388B0A-369B-4225-9257-1A8270A3C693}"/>
            </a:ext>
          </a:extLst>
        </xdr:cNvPr>
        <xdr:cNvSpPr/>
      </xdr:nvSpPr>
      <xdr:spPr>
        <a:xfrm rot="10800000">
          <a:off x="9456420" y="12287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337185</xdr:colOff>
      <xdr:row>8</xdr:row>
      <xdr:rowOff>134620</xdr:rowOff>
    </xdr:from>
    <xdr:to>
      <xdr:col>13</xdr:col>
      <xdr:colOff>167005</xdr:colOff>
      <xdr:row>9</xdr:row>
      <xdr:rowOff>18415</xdr:rowOff>
    </xdr:to>
    <xdr:sp macro="" textlink="">
      <xdr:nvSpPr>
        <xdr:cNvPr id="32" name="Notched Right Arrow 60">
          <a:extLst>
            <a:ext uri="{FF2B5EF4-FFF2-40B4-BE49-F238E27FC236}">
              <a16:creationId xmlns:a16="http://schemas.microsoft.com/office/drawing/2014/main" id="{9BAFA4FD-56E7-4FF8-8C45-9ECD2C35F5C0}"/>
            </a:ext>
          </a:extLst>
        </xdr:cNvPr>
        <xdr:cNvSpPr/>
      </xdr:nvSpPr>
      <xdr:spPr>
        <a:xfrm>
          <a:off x="8566785" y="1734820"/>
          <a:ext cx="515620" cy="83820"/>
        </a:xfrm>
        <a:prstGeom prst="notchedRightArrow">
          <a:avLst/>
        </a:prstGeom>
        <a:solidFill>
          <a:schemeClr val="accent6">
            <a:lumMod val="75000"/>
          </a:schemeClr>
        </a:solidFill>
        <a:ln>
          <a:gradFill>
            <a:gsLst>
              <a:gs pos="0">
                <a:srgbClr val="9EE256"/>
              </a:gs>
              <a:gs pos="100000">
                <a:srgbClr val="52762D"/>
              </a:gs>
            </a:gsLst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26</xdr:col>
      <xdr:colOff>45085</xdr:colOff>
      <xdr:row>25</xdr:row>
      <xdr:rowOff>18415</xdr:rowOff>
    </xdr:from>
    <xdr:to>
      <xdr:col>26</xdr:col>
      <xdr:colOff>217805</xdr:colOff>
      <xdr:row>26</xdr:row>
      <xdr:rowOff>12700</xdr:rowOff>
    </xdr:to>
    <xdr:sp macro="" textlink="">
      <xdr:nvSpPr>
        <xdr:cNvPr id="33" name="Chevron 61">
          <a:extLst>
            <a:ext uri="{FF2B5EF4-FFF2-40B4-BE49-F238E27FC236}">
              <a16:creationId xmlns:a16="http://schemas.microsoft.com/office/drawing/2014/main" id="{4E5ADC78-E2E7-405A-83D5-4AFB2C1C8FA8}"/>
            </a:ext>
          </a:extLst>
        </xdr:cNvPr>
        <xdr:cNvSpPr/>
      </xdr:nvSpPr>
      <xdr:spPr>
        <a:xfrm>
          <a:off x="17875885" y="5019040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331470</xdr:colOff>
      <xdr:row>31</xdr:row>
      <xdr:rowOff>38100</xdr:rowOff>
    </xdr:from>
    <xdr:to>
      <xdr:col>25</xdr:col>
      <xdr:colOff>410210</xdr:colOff>
      <xdr:row>34</xdr:row>
      <xdr:rowOff>23495</xdr:rowOff>
    </xdr:to>
    <xdr:sp macro="" textlink="">
      <xdr:nvSpPr>
        <xdr:cNvPr id="34" name="U-Turn Arrow 63">
          <a:extLst>
            <a:ext uri="{FF2B5EF4-FFF2-40B4-BE49-F238E27FC236}">
              <a16:creationId xmlns:a16="http://schemas.microsoft.com/office/drawing/2014/main" id="{7E09F3EF-2E54-4570-8407-3C5CA04830FA}"/>
            </a:ext>
          </a:extLst>
        </xdr:cNvPr>
        <xdr:cNvSpPr/>
      </xdr:nvSpPr>
      <xdr:spPr>
        <a:xfrm rot="10800000">
          <a:off x="8561070" y="6238875"/>
          <a:ext cx="8994140" cy="585470"/>
        </a:xfrm>
        <a:prstGeom prst="uturnArrow">
          <a:avLst>
            <a:gd name="adj1" fmla="val 13172"/>
            <a:gd name="adj2" fmla="val 11288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481965</xdr:colOff>
      <xdr:row>26</xdr:row>
      <xdr:rowOff>12700</xdr:rowOff>
    </xdr:from>
    <xdr:to>
      <xdr:col>24</xdr:col>
      <xdr:colOff>245110</xdr:colOff>
      <xdr:row>26</xdr:row>
      <xdr:rowOff>165100</xdr:rowOff>
    </xdr:to>
    <xdr:sp macro="" textlink="">
      <xdr:nvSpPr>
        <xdr:cNvPr id="35" name="Right Arrow 65">
          <a:extLst>
            <a:ext uri="{FF2B5EF4-FFF2-40B4-BE49-F238E27FC236}">
              <a16:creationId xmlns:a16="http://schemas.microsoft.com/office/drawing/2014/main" id="{D0A5E501-206E-4214-BCAF-2AF50697116C}"/>
            </a:ext>
          </a:extLst>
        </xdr:cNvPr>
        <xdr:cNvSpPr/>
      </xdr:nvSpPr>
      <xdr:spPr>
        <a:xfrm>
          <a:off x="16255365" y="5213350"/>
          <a:ext cx="44894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24</xdr:col>
      <xdr:colOff>457200</xdr:colOff>
      <xdr:row>26</xdr:row>
      <xdr:rowOff>27305</xdr:rowOff>
    </xdr:from>
    <xdr:to>
      <xdr:col>25</xdr:col>
      <xdr:colOff>219710</xdr:colOff>
      <xdr:row>26</xdr:row>
      <xdr:rowOff>170815</xdr:rowOff>
    </xdr:to>
    <xdr:sp macro="" textlink="">
      <xdr:nvSpPr>
        <xdr:cNvPr id="36" name="Right Arrow 66">
          <a:extLst>
            <a:ext uri="{FF2B5EF4-FFF2-40B4-BE49-F238E27FC236}">
              <a16:creationId xmlns:a16="http://schemas.microsoft.com/office/drawing/2014/main" id="{E9CC1AD5-D702-40F5-B3C0-AD987EF7618A}"/>
            </a:ext>
          </a:extLst>
        </xdr:cNvPr>
        <xdr:cNvSpPr/>
      </xdr:nvSpPr>
      <xdr:spPr>
        <a:xfrm rot="10800000">
          <a:off x="16916400" y="5227955"/>
          <a:ext cx="448310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351790</xdr:colOff>
      <xdr:row>24</xdr:row>
      <xdr:rowOff>67310</xdr:rowOff>
    </xdr:from>
    <xdr:to>
      <xdr:col>12</xdr:col>
      <xdr:colOff>506730</xdr:colOff>
      <xdr:row>26</xdr:row>
      <xdr:rowOff>116840</xdr:rowOff>
    </xdr:to>
    <xdr:sp macro="" textlink="">
      <xdr:nvSpPr>
        <xdr:cNvPr id="37" name="Down Arrow 67">
          <a:extLst>
            <a:ext uri="{FF2B5EF4-FFF2-40B4-BE49-F238E27FC236}">
              <a16:creationId xmlns:a16="http://schemas.microsoft.com/office/drawing/2014/main" id="{1BD75188-3038-4B4E-823B-088E1401CD94}"/>
            </a:ext>
          </a:extLst>
        </xdr:cNvPr>
        <xdr:cNvSpPr/>
      </xdr:nvSpPr>
      <xdr:spPr>
        <a:xfrm rot="10800000">
          <a:off x="8581390" y="4867910"/>
          <a:ext cx="15494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408940</xdr:colOff>
      <xdr:row>31</xdr:row>
      <xdr:rowOff>19685</xdr:rowOff>
    </xdr:from>
    <xdr:to>
      <xdr:col>16</xdr:col>
      <xdr:colOff>144780</xdr:colOff>
      <xdr:row>32</xdr:row>
      <xdr:rowOff>31750</xdr:rowOff>
    </xdr:to>
    <xdr:sp macro="" textlink="">
      <xdr:nvSpPr>
        <xdr:cNvPr id="38" name="U-Turn Arrow 68">
          <a:extLst>
            <a:ext uri="{FF2B5EF4-FFF2-40B4-BE49-F238E27FC236}">
              <a16:creationId xmlns:a16="http://schemas.microsoft.com/office/drawing/2014/main" id="{6DAC164B-CEAE-4B16-A375-302C921CF033}"/>
            </a:ext>
          </a:extLst>
        </xdr:cNvPr>
        <xdr:cNvSpPr/>
      </xdr:nvSpPr>
      <xdr:spPr>
        <a:xfrm flipV="1">
          <a:off x="9324340" y="6220460"/>
          <a:ext cx="1793240" cy="212090"/>
        </a:xfrm>
        <a:prstGeom prst="uturnArrow">
          <a:avLst>
            <a:gd name="adj1" fmla="val 3545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593090</xdr:colOff>
      <xdr:row>24</xdr:row>
      <xdr:rowOff>24130</xdr:rowOff>
    </xdr:from>
    <xdr:to>
      <xdr:col>14</xdr:col>
      <xdr:colOff>225425</xdr:colOff>
      <xdr:row>24</xdr:row>
      <xdr:rowOff>176530</xdr:rowOff>
    </xdr:to>
    <xdr:sp macro="" textlink="">
      <xdr:nvSpPr>
        <xdr:cNvPr id="39" name="Right Arrow 69">
          <a:extLst>
            <a:ext uri="{FF2B5EF4-FFF2-40B4-BE49-F238E27FC236}">
              <a16:creationId xmlns:a16="http://schemas.microsoft.com/office/drawing/2014/main" id="{B4E013D4-FCAB-4B06-945E-60C3B99B7464}"/>
            </a:ext>
          </a:extLst>
        </xdr:cNvPr>
        <xdr:cNvSpPr/>
      </xdr:nvSpPr>
      <xdr:spPr>
        <a:xfrm>
          <a:off x="9508490" y="4824730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14</xdr:col>
      <xdr:colOff>615950</xdr:colOff>
      <xdr:row>24</xdr:row>
      <xdr:rowOff>21590</xdr:rowOff>
    </xdr:from>
    <xdr:to>
      <xdr:col>15</xdr:col>
      <xdr:colOff>247650</xdr:colOff>
      <xdr:row>24</xdr:row>
      <xdr:rowOff>173990</xdr:rowOff>
    </xdr:to>
    <xdr:sp macro="" textlink="">
      <xdr:nvSpPr>
        <xdr:cNvPr id="40" name="Right Arrow 70">
          <a:extLst>
            <a:ext uri="{FF2B5EF4-FFF2-40B4-BE49-F238E27FC236}">
              <a16:creationId xmlns:a16="http://schemas.microsoft.com/office/drawing/2014/main" id="{3D9F9791-92F8-4FFE-97C4-87C7DF3E5B5A}"/>
            </a:ext>
          </a:extLst>
        </xdr:cNvPr>
        <xdr:cNvSpPr/>
      </xdr:nvSpPr>
      <xdr:spPr>
        <a:xfrm>
          <a:off x="10217150" y="4822190"/>
          <a:ext cx="31750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17</xdr:col>
      <xdr:colOff>368300</xdr:colOff>
      <xdr:row>24</xdr:row>
      <xdr:rowOff>75565</xdr:rowOff>
    </xdr:from>
    <xdr:to>
      <xdr:col>17</xdr:col>
      <xdr:colOff>515620</xdr:colOff>
      <xdr:row>26</xdr:row>
      <xdr:rowOff>125095</xdr:rowOff>
    </xdr:to>
    <xdr:sp macro="" textlink="">
      <xdr:nvSpPr>
        <xdr:cNvPr id="41" name="Down Arrow 71">
          <a:extLst>
            <a:ext uri="{FF2B5EF4-FFF2-40B4-BE49-F238E27FC236}">
              <a16:creationId xmlns:a16="http://schemas.microsoft.com/office/drawing/2014/main" id="{E0F5C875-C0D7-4601-B27C-95A044A7FF5A}"/>
            </a:ext>
          </a:extLst>
        </xdr:cNvPr>
        <xdr:cNvSpPr/>
      </xdr:nvSpPr>
      <xdr:spPr>
        <a:xfrm rot="10800000">
          <a:off x="12026900" y="4876165"/>
          <a:ext cx="1473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615950</xdr:colOff>
      <xdr:row>26</xdr:row>
      <xdr:rowOff>39370</xdr:rowOff>
    </xdr:from>
    <xdr:to>
      <xdr:col>19</xdr:col>
      <xdr:colOff>247650</xdr:colOff>
      <xdr:row>26</xdr:row>
      <xdr:rowOff>184150</xdr:rowOff>
    </xdr:to>
    <xdr:sp macro="" textlink="">
      <xdr:nvSpPr>
        <xdr:cNvPr id="42" name="Right Arrow 72">
          <a:extLst>
            <a:ext uri="{FF2B5EF4-FFF2-40B4-BE49-F238E27FC236}">
              <a16:creationId xmlns:a16="http://schemas.microsoft.com/office/drawing/2014/main" id="{6CFAB45B-7E7F-4399-A489-8D950488837A}"/>
            </a:ext>
          </a:extLst>
        </xdr:cNvPr>
        <xdr:cNvSpPr/>
      </xdr:nvSpPr>
      <xdr:spPr>
        <a:xfrm>
          <a:off x="12960350" y="5240020"/>
          <a:ext cx="317500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600710</xdr:colOff>
      <xdr:row>24</xdr:row>
      <xdr:rowOff>28575</xdr:rowOff>
    </xdr:from>
    <xdr:to>
      <xdr:col>6</xdr:col>
      <xdr:colOff>233045</xdr:colOff>
      <xdr:row>24</xdr:row>
      <xdr:rowOff>152400</xdr:rowOff>
    </xdr:to>
    <xdr:sp macro="" textlink="">
      <xdr:nvSpPr>
        <xdr:cNvPr id="43" name="Right Arrow 73">
          <a:extLst>
            <a:ext uri="{FF2B5EF4-FFF2-40B4-BE49-F238E27FC236}">
              <a16:creationId xmlns:a16="http://schemas.microsoft.com/office/drawing/2014/main" id="{5B63B429-8B52-4E07-902E-A15F044ADC88}"/>
            </a:ext>
          </a:extLst>
        </xdr:cNvPr>
        <xdr:cNvSpPr/>
      </xdr:nvSpPr>
      <xdr:spPr>
        <a:xfrm rot="10800000">
          <a:off x="4029710" y="4829175"/>
          <a:ext cx="318135" cy="1238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615315</xdr:colOff>
      <xdr:row>24</xdr:row>
      <xdr:rowOff>22225</xdr:rowOff>
    </xdr:from>
    <xdr:to>
      <xdr:col>8</xdr:col>
      <xdr:colOff>247650</xdr:colOff>
      <xdr:row>24</xdr:row>
      <xdr:rowOff>152400</xdr:rowOff>
    </xdr:to>
    <xdr:sp macro="" textlink="">
      <xdr:nvSpPr>
        <xdr:cNvPr id="44" name="Right Arrow 74">
          <a:extLst>
            <a:ext uri="{FF2B5EF4-FFF2-40B4-BE49-F238E27FC236}">
              <a16:creationId xmlns:a16="http://schemas.microsoft.com/office/drawing/2014/main" id="{83DDB2FF-A2CA-4604-9EEE-98793D1548DB}"/>
            </a:ext>
          </a:extLst>
        </xdr:cNvPr>
        <xdr:cNvSpPr/>
      </xdr:nvSpPr>
      <xdr:spPr>
        <a:xfrm>
          <a:off x="5415915" y="4822825"/>
          <a:ext cx="318135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377825</xdr:colOff>
      <xdr:row>15</xdr:row>
      <xdr:rowOff>99060</xdr:rowOff>
    </xdr:from>
    <xdr:to>
      <xdr:col>18</xdr:col>
      <xdr:colOff>88265</xdr:colOff>
      <xdr:row>19</xdr:row>
      <xdr:rowOff>173355</xdr:rowOff>
    </xdr:to>
    <xdr:sp macro="" textlink="">
      <xdr:nvSpPr>
        <xdr:cNvPr id="45" name="U-Turn Arrow 75">
          <a:extLst>
            <a:ext uri="{FF2B5EF4-FFF2-40B4-BE49-F238E27FC236}">
              <a16:creationId xmlns:a16="http://schemas.microsoft.com/office/drawing/2014/main" id="{B21B0B86-4EBE-46A7-81C2-D5EA167DA30F}"/>
            </a:ext>
          </a:extLst>
        </xdr:cNvPr>
        <xdr:cNvSpPr/>
      </xdr:nvSpPr>
      <xdr:spPr>
        <a:xfrm>
          <a:off x="3121025" y="3099435"/>
          <a:ext cx="9311640" cy="874395"/>
        </a:xfrm>
        <a:prstGeom prst="uturnArrow">
          <a:avLst>
            <a:gd name="adj1" fmla="val 9024"/>
            <a:gd name="adj2" fmla="val 6736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367665</xdr:colOff>
      <xdr:row>24</xdr:row>
      <xdr:rowOff>87630</xdr:rowOff>
    </xdr:from>
    <xdr:to>
      <xdr:col>5</xdr:col>
      <xdr:colOff>495935</xdr:colOff>
      <xdr:row>26</xdr:row>
      <xdr:rowOff>137160</xdr:rowOff>
    </xdr:to>
    <xdr:sp macro="" textlink="">
      <xdr:nvSpPr>
        <xdr:cNvPr id="46" name="Down Arrow 76">
          <a:extLst>
            <a:ext uri="{FF2B5EF4-FFF2-40B4-BE49-F238E27FC236}">
              <a16:creationId xmlns:a16="http://schemas.microsoft.com/office/drawing/2014/main" id="{C6EC31B7-43FD-42C9-9C2E-3A6CB7163BDF}"/>
            </a:ext>
          </a:extLst>
        </xdr:cNvPr>
        <xdr:cNvSpPr/>
      </xdr:nvSpPr>
      <xdr:spPr>
        <a:xfrm>
          <a:off x="3796665" y="4888230"/>
          <a:ext cx="12827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335280</xdr:colOff>
      <xdr:row>18</xdr:row>
      <xdr:rowOff>28575</xdr:rowOff>
    </xdr:from>
    <xdr:to>
      <xdr:col>3</xdr:col>
      <xdr:colOff>444500</xdr:colOff>
      <xdr:row>19</xdr:row>
      <xdr:rowOff>187325</xdr:rowOff>
    </xdr:to>
    <xdr:sp macro="" textlink="">
      <xdr:nvSpPr>
        <xdr:cNvPr id="47" name="U-Turn Arrow 77">
          <a:extLst>
            <a:ext uri="{FF2B5EF4-FFF2-40B4-BE49-F238E27FC236}">
              <a16:creationId xmlns:a16="http://schemas.microsoft.com/office/drawing/2014/main" id="{77BAE2F4-597F-4A2B-A9D3-C37DA3B2C59E}"/>
            </a:ext>
          </a:extLst>
        </xdr:cNvPr>
        <xdr:cNvSpPr/>
      </xdr:nvSpPr>
      <xdr:spPr>
        <a:xfrm rot="10800000" flipH="1" flipV="1">
          <a:off x="1021080" y="3629025"/>
          <a:ext cx="1480820" cy="358775"/>
        </a:xfrm>
        <a:prstGeom prst="uturnArrow">
          <a:avLst>
            <a:gd name="adj1" fmla="val 19786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344805</xdr:colOff>
      <xdr:row>18</xdr:row>
      <xdr:rowOff>166370</xdr:rowOff>
    </xdr:from>
    <xdr:to>
      <xdr:col>4</xdr:col>
      <xdr:colOff>363220</xdr:colOff>
      <xdr:row>19</xdr:row>
      <xdr:rowOff>173355</xdr:rowOff>
    </xdr:to>
    <xdr:sp macro="" textlink="">
      <xdr:nvSpPr>
        <xdr:cNvPr id="48" name="U-Turn Arrow 78">
          <a:extLst>
            <a:ext uri="{FF2B5EF4-FFF2-40B4-BE49-F238E27FC236}">
              <a16:creationId xmlns:a16="http://schemas.microsoft.com/office/drawing/2014/main" id="{EDA7E96E-432C-4848-B839-54BB6E5F14E2}"/>
            </a:ext>
          </a:extLst>
        </xdr:cNvPr>
        <xdr:cNvSpPr/>
      </xdr:nvSpPr>
      <xdr:spPr>
        <a:xfrm rot="10800000" flipH="1" flipV="1">
          <a:off x="1716405" y="3766820"/>
          <a:ext cx="1390015" cy="207010"/>
        </a:xfrm>
        <a:prstGeom prst="uturnArrow">
          <a:avLst>
            <a:gd name="adj1" fmla="val 3602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351155</xdr:colOff>
      <xdr:row>24</xdr:row>
      <xdr:rowOff>71120</xdr:rowOff>
    </xdr:from>
    <xdr:to>
      <xdr:col>3</xdr:col>
      <xdr:colOff>485775</xdr:colOff>
      <xdr:row>26</xdr:row>
      <xdr:rowOff>120650</xdr:rowOff>
    </xdr:to>
    <xdr:sp macro="" textlink="">
      <xdr:nvSpPr>
        <xdr:cNvPr id="49" name="Down Arrow 79">
          <a:extLst>
            <a:ext uri="{FF2B5EF4-FFF2-40B4-BE49-F238E27FC236}">
              <a16:creationId xmlns:a16="http://schemas.microsoft.com/office/drawing/2014/main" id="{53A2A279-DB43-4915-833A-8B0D37BA206C}"/>
            </a:ext>
          </a:extLst>
        </xdr:cNvPr>
        <xdr:cNvSpPr/>
      </xdr:nvSpPr>
      <xdr:spPr>
        <a:xfrm>
          <a:off x="2408555" y="4871720"/>
          <a:ext cx="1346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602615</xdr:colOff>
      <xdr:row>26</xdr:row>
      <xdr:rowOff>81915</xdr:rowOff>
    </xdr:from>
    <xdr:to>
      <xdr:col>4</xdr:col>
      <xdr:colOff>234950</xdr:colOff>
      <xdr:row>26</xdr:row>
      <xdr:rowOff>196215</xdr:rowOff>
    </xdr:to>
    <xdr:sp macro="" textlink="">
      <xdr:nvSpPr>
        <xdr:cNvPr id="50" name="Right Arrow 80">
          <a:extLst>
            <a:ext uri="{FF2B5EF4-FFF2-40B4-BE49-F238E27FC236}">
              <a16:creationId xmlns:a16="http://schemas.microsoft.com/office/drawing/2014/main" id="{AE04449E-DB77-43BB-9974-1AAF9AA22047}"/>
            </a:ext>
          </a:extLst>
        </xdr:cNvPr>
        <xdr:cNvSpPr/>
      </xdr:nvSpPr>
      <xdr:spPr>
        <a:xfrm>
          <a:off x="2660015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624840</xdr:colOff>
      <xdr:row>26</xdr:row>
      <xdr:rowOff>81915</xdr:rowOff>
    </xdr:from>
    <xdr:to>
      <xdr:col>6</xdr:col>
      <xdr:colOff>257175</xdr:colOff>
      <xdr:row>26</xdr:row>
      <xdr:rowOff>196215</xdr:rowOff>
    </xdr:to>
    <xdr:sp macro="" textlink="">
      <xdr:nvSpPr>
        <xdr:cNvPr id="51" name="Right Arrow 81">
          <a:extLst>
            <a:ext uri="{FF2B5EF4-FFF2-40B4-BE49-F238E27FC236}">
              <a16:creationId xmlns:a16="http://schemas.microsoft.com/office/drawing/2014/main" id="{F253A7B3-48F8-43F5-8999-29583015FFC6}"/>
            </a:ext>
          </a:extLst>
        </xdr:cNvPr>
        <xdr:cNvSpPr/>
      </xdr:nvSpPr>
      <xdr:spPr>
        <a:xfrm>
          <a:off x="4053840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610235</xdr:colOff>
      <xdr:row>26</xdr:row>
      <xdr:rowOff>50800</xdr:rowOff>
    </xdr:from>
    <xdr:to>
      <xdr:col>8</xdr:col>
      <xdr:colOff>242570</xdr:colOff>
      <xdr:row>26</xdr:row>
      <xdr:rowOff>186055</xdr:rowOff>
    </xdr:to>
    <xdr:sp macro="" textlink="">
      <xdr:nvSpPr>
        <xdr:cNvPr id="52" name="Right Arrow 82">
          <a:extLst>
            <a:ext uri="{FF2B5EF4-FFF2-40B4-BE49-F238E27FC236}">
              <a16:creationId xmlns:a16="http://schemas.microsoft.com/office/drawing/2014/main" id="{4E5D02DF-CE30-4A89-B804-2A338BFB30AB}"/>
            </a:ext>
          </a:extLst>
        </xdr:cNvPr>
        <xdr:cNvSpPr/>
      </xdr:nvSpPr>
      <xdr:spPr>
        <a:xfrm>
          <a:off x="5410835" y="5251450"/>
          <a:ext cx="318135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624840</xdr:colOff>
      <xdr:row>26</xdr:row>
      <xdr:rowOff>41910</xdr:rowOff>
    </xdr:from>
    <xdr:to>
      <xdr:col>10</xdr:col>
      <xdr:colOff>256540</xdr:colOff>
      <xdr:row>26</xdr:row>
      <xdr:rowOff>172085</xdr:rowOff>
    </xdr:to>
    <xdr:sp macro="" textlink="">
      <xdr:nvSpPr>
        <xdr:cNvPr id="53" name="Right Arrow 83">
          <a:extLst>
            <a:ext uri="{FF2B5EF4-FFF2-40B4-BE49-F238E27FC236}">
              <a16:creationId xmlns:a16="http://schemas.microsoft.com/office/drawing/2014/main" id="{B91B55E1-5292-4132-8792-3F8F1F8BE768}"/>
            </a:ext>
          </a:extLst>
        </xdr:cNvPr>
        <xdr:cNvSpPr/>
      </xdr:nvSpPr>
      <xdr:spPr>
        <a:xfrm>
          <a:off x="6797040" y="5242560"/>
          <a:ext cx="317500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760095</xdr:colOff>
      <xdr:row>31</xdr:row>
      <xdr:rowOff>40005</xdr:rowOff>
    </xdr:from>
    <xdr:to>
      <xdr:col>14</xdr:col>
      <xdr:colOff>483870</xdr:colOff>
      <xdr:row>33</xdr:row>
      <xdr:rowOff>8255</xdr:rowOff>
    </xdr:to>
    <xdr:sp macro="" textlink="">
      <xdr:nvSpPr>
        <xdr:cNvPr id="54" name="U-Turn Arrow 84">
          <a:extLst>
            <a:ext uri="{FF2B5EF4-FFF2-40B4-BE49-F238E27FC236}">
              <a16:creationId xmlns:a16="http://schemas.microsoft.com/office/drawing/2014/main" id="{519D71C3-74C0-4780-B4AF-005CF0200EB9}"/>
            </a:ext>
          </a:extLst>
        </xdr:cNvPr>
        <xdr:cNvSpPr/>
      </xdr:nvSpPr>
      <xdr:spPr>
        <a:xfrm flipV="1">
          <a:off x="7541895" y="6240780"/>
          <a:ext cx="2543175" cy="368300"/>
        </a:xfrm>
        <a:prstGeom prst="uturnArrow">
          <a:avLst>
            <a:gd name="adj1" fmla="val 18055"/>
            <a:gd name="adj2" fmla="val 20411"/>
            <a:gd name="adj3" fmla="val 25042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390525</xdr:colOff>
      <xdr:row>18</xdr:row>
      <xdr:rowOff>8890</xdr:rowOff>
    </xdr:from>
    <xdr:to>
      <xdr:col>11</xdr:col>
      <xdr:colOff>466725</xdr:colOff>
      <xdr:row>19</xdr:row>
      <xdr:rowOff>167640</xdr:rowOff>
    </xdr:to>
    <xdr:sp macro="" textlink="">
      <xdr:nvSpPr>
        <xdr:cNvPr id="55" name="U-Turn Arrow 85">
          <a:extLst>
            <a:ext uri="{FF2B5EF4-FFF2-40B4-BE49-F238E27FC236}">
              <a16:creationId xmlns:a16="http://schemas.microsoft.com/office/drawing/2014/main" id="{AD32867F-E0DE-4366-B7DD-30C05AF47A4A}"/>
            </a:ext>
          </a:extLst>
        </xdr:cNvPr>
        <xdr:cNvSpPr/>
      </xdr:nvSpPr>
      <xdr:spPr>
        <a:xfrm rot="10800000" flipH="1" flipV="1">
          <a:off x="5876925" y="3609340"/>
          <a:ext cx="2133600" cy="358775"/>
        </a:xfrm>
        <a:prstGeom prst="uturnArrow">
          <a:avLst>
            <a:gd name="adj1" fmla="val 22750"/>
            <a:gd name="adj2" fmla="val 2192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577850</xdr:colOff>
      <xdr:row>24</xdr:row>
      <xdr:rowOff>20320</xdr:rowOff>
    </xdr:from>
    <xdr:to>
      <xdr:col>9</xdr:col>
      <xdr:colOff>212090</xdr:colOff>
      <xdr:row>24</xdr:row>
      <xdr:rowOff>155575</xdr:rowOff>
    </xdr:to>
    <xdr:sp macro="" textlink="">
      <xdr:nvSpPr>
        <xdr:cNvPr id="56" name="Right Arrow 86">
          <a:extLst>
            <a:ext uri="{FF2B5EF4-FFF2-40B4-BE49-F238E27FC236}">
              <a16:creationId xmlns:a16="http://schemas.microsoft.com/office/drawing/2014/main" id="{E1E535E4-D4D3-4B50-8E0A-5090F2FEA465}"/>
            </a:ext>
          </a:extLst>
        </xdr:cNvPr>
        <xdr:cNvSpPr/>
      </xdr:nvSpPr>
      <xdr:spPr>
        <a:xfrm rot="10800000">
          <a:off x="6064250" y="4820920"/>
          <a:ext cx="320040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388937</xdr:colOff>
      <xdr:row>25</xdr:row>
      <xdr:rowOff>22542</xdr:rowOff>
    </xdr:from>
    <xdr:to>
      <xdr:col>14</xdr:col>
      <xdr:colOff>407987</xdr:colOff>
      <xdr:row>25</xdr:row>
      <xdr:rowOff>159067</xdr:rowOff>
    </xdr:to>
    <xdr:sp macro="" textlink="">
      <xdr:nvSpPr>
        <xdr:cNvPr id="57" name="Down Arrow 87">
          <a:extLst>
            <a:ext uri="{FF2B5EF4-FFF2-40B4-BE49-F238E27FC236}">
              <a16:creationId xmlns:a16="http://schemas.microsoft.com/office/drawing/2014/main" id="{65D76083-D013-4D72-8D01-C12B9DB25406}"/>
            </a:ext>
          </a:extLst>
        </xdr:cNvPr>
        <xdr:cNvSpPr/>
      </xdr:nvSpPr>
      <xdr:spPr>
        <a:xfrm rot="16680000">
          <a:off x="8559799" y="3710305"/>
          <a:ext cx="136525" cy="2762250"/>
        </a:xfrm>
        <a:prstGeom prst="downArrow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615950</xdr:colOff>
      <xdr:row>24</xdr:row>
      <xdr:rowOff>5080</xdr:rowOff>
    </xdr:from>
    <xdr:to>
      <xdr:col>11</xdr:col>
      <xdr:colOff>247015</xdr:colOff>
      <xdr:row>24</xdr:row>
      <xdr:rowOff>148590</xdr:rowOff>
    </xdr:to>
    <xdr:sp macro="" textlink="">
      <xdr:nvSpPr>
        <xdr:cNvPr id="58" name="Right Arrow 88">
          <a:extLst>
            <a:ext uri="{FF2B5EF4-FFF2-40B4-BE49-F238E27FC236}">
              <a16:creationId xmlns:a16="http://schemas.microsoft.com/office/drawing/2014/main" id="{081840FB-19B9-4C31-BAF1-14D8E39997C9}"/>
            </a:ext>
          </a:extLst>
        </xdr:cNvPr>
        <xdr:cNvSpPr/>
      </xdr:nvSpPr>
      <xdr:spPr>
        <a:xfrm rot="10800000">
          <a:off x="7473950" y="4805680"/>
          <a:ext cx="316865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596900</xdr:colOff>
      <xdr:row>26</xdr:row>
      <xdr:rowOff>41275</xdr:rowOff>
    </xdr:from>
    <xdr:to>
      <xdr:col>14</xdr:col>
      <xdr:colOff>229235</xdr:colOff>
      <xdr:row>26</xdr:row>
      <xdr:rowOff>193675</xdr:rowOff>
    </xdr:to>
    <xdr:sp macro="" textlink="">
      <xdr:nvSpPr>
        <xdr:cNvPr id="59" name="Right Arrow 89">
          <a:extLst>
            <a:ext uri="{FF2B5EF4-FFF2-40B4-BE49-F238E27FC236}">
              <a16:creationId xmlns:a16="http://schemas.microsoft.com/office/drawing/2014/main" id="{783F8475-0EC5-4707-A4A8-5688E19CD524}"/>
            </a:ext>
          </a:extLst>
        </xdr:cNvPr>
        <xdr:cNvSpPr/>
      </xdr:nvSpPr>
      <xdr:spPr>
        <a:xfrm rot="10800000">
          <a:off x="9512300" y="5241925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605790</xdr:colOff>
      <xdr:row>26</xdr:row>
      <xdr:rowOff>41275</xdr:rowOff>
    </xdr:from>
    <xdr:to>
      <xdr:col>17</xdr:col>
      <xdr:colOff>238760</xdr:colOff>
      <xdr:row>26</xdr:row>
      <xdr:rowOff>193675</xdr:rowOff>
    </xdr:to>
    <xdr:sp macro="" textlink="">
      <xdr:nvSpPr>
        <xdr:cNvPr id="60" name="Right Arrow 90">
          <a:extLst>
            <a:ext uri="{FF2B5EF4-FFF2-40B4-BE49-F238E27FC236}">
              <a16:creationId xmlns:a16="http://schemas.microsoft.com/office/drawing/2014/main" id="{0E11CD1B-F8D2-4C03-A66C-41F8DFC6C0A0}"/>
            </a:ext>
          </a:extLst>
        </xdr:cNvPr>
        <xdr:cNvSpPr/>
      </xdr:nvSpPr>
      <xdr:spPr>
        <a:xfrm>
          <a:off x="11578590" y="5241925"/>
          <a:ext cx="31877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130175</xdr:colOff>
      <xdr:row>19</xdr:row>
      <xdr:rowOff>9525</xdr:rowOff>
    </xdr:from>
    <xdr:to>
      <xdr:col>20</xdr:col>
      <xdr:colOff>471805</xdr:colOff>
      <xdr:row>19</xdr:row>
      <xdr:rowOff>178435</xdr:rowOff>
    </xdr:to>
    <xdr:sp macro="" textlink="">
      <xdr:nvSpPr>
        <xdr:cNvPr id="61" name="U-Turn Arrow 91">
          <a:extLst>
            <a:ext uri="{FF2B5EF4-FFF2-40B4-BE49-F238E27FC236}">
              <a16:creationId xmlns:a16="http://schemas.microsoft.com/office/drawing/2014/main" id="{6227BFCC-3E8A-48F6-8510-10B4B4CE98A6}"/>
            </a:ext>
          </a:extLst>
        </xdr:cNvPr>
        <xdr:cNvSpPr/>
      </xdr:nvSpPr>
      <xdr:spPr>
        <a:xfrm rot="10800000" flipH="1" flipV="1">
          <a:off x="12474575" y="3810000"/>
          <a:ext cx="1713230" cy="168910"/>
        </a:xfrm>
        <a:prstGeom prst="uturnArrow">
          <a:avLst>
            <a:gd name="adj1" fmla="val 39772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322897</xdr:colOff>
      <xdr:row>25</xdr:row>
      <xdr:rowOff>4762</xdr:rowOff>
    </xdr:from>
    <xdr:to>
      <xdr:col>19</xdr:col>
      <xdr:colOff>396557</xdr:colOff>
      <xdr:row>25</xdr:row>
      <xdr:rowOff>160972</xdr:rowOff>
    </xdr:to>
    <xdr:sp macro="" textlink="">
      <xdr:nvSpPr>
        <xdr:cNvPr id="62" name="Down Arrow 92">
          <a:extLst>
            <a:ext uri="{FF2B5EF4-FFF2-40B4-BE49-F238E27FC236}">
              <a16:creationId xmlns:a16="http://schemas.microsoft.com/office/drawing/2014/main" id="{7A968DED-4475-436E-8E9E-7447C48C7E38}"/>
            </a:ext>
          </a:extLst>
        </xdr:cNvPr>
        <xdr:cNvSpPr/>
      </xdr:nvSpPr>
      <xdr:spPr>
        <a:xfrm rot="3300000" flipH="1">
          <a:off x="12968922" y="4703762"/>
          <a:ext cx="156210" cy="7594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601980</xdr:colOff>
      <xdr:row>24</xdr:row>
      <xdr:rowOff>19685</xdr:rowOff>
    </xdr:from>
    <xdr:to>
      <xdr:col>20</xdr:col>
      <xdr:colOff>234315</xdr:colOff>
      <xdr:row>24</xdr:row>
      <xdr:rowOff>187325</xdr:rowOff>
    </xdr:to>
    <xdr:sp macro="" textlink="">
      <xdr:nvSpPr>
        <xdr:cNvPr id="63" name="Right Arrow 93">
          <a:extLst>
            <a:ext uri="{FF2B5EF4-FFF2-40B4-BE49-F238E27FC236}">
              <a16:creationId xmlns:a16="http://schemas.microsoft.com/office/drawing/2014/main" id="{FA001CB4-309D-4106-BA96-2EAE667B1530}"/>
            </a:ext>
          </a:extLst>
        </xdr:cNvPr>
        <xdr:cNvSpPr/>
      </xdr:nvSpPr>
      <xdr:spPr>
        <a:xfrm rot="10800000">
          <a:off x="13632180" y="4820285"/>
          <a:ext cx="318135" cy="16764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15</xdr:col>
      <xdr:colOff>591185</xdr:colOff>
      <xdr:row>24</xdr:row>
      <xdr:rowOff>24765</xdr:rowOff>
    </xdr:from>
    <xdr:to>
      <xdr:col>16</xdr:col>
      <xdr:colOff>223520</xdr:colOff>
      <xdr:row>24</xdr:row>
      <xdr:rowOff>169545</xdr:rowOff>
    </xdr:to>
    <xdr:sp macro="" textlink="">
      <xdr:nvSpPr>
        <xdr:cNvPr id="64" name="Right Arrow 94">
          <a:extLst>
            <a:ext uri="{FF2B5EF4-FFF2-40B4-BE49-F238E27FC236}">
              <a16:creationId xmlns:a16="http://schemas.microsoft.com/office/drawing/2014/main" id="{CEE300E7-B0B2-401C-9786-18CF09297DAE}"/>
            </a:ext>
          </a:extLst>
        </xdr:cNvPr>
        <xdr:cNvSpPr/>
      </xdr:nvSpPr>
      <xdr:spPr>
        <a:xfrm>
          <a:off x="10878185" y="4825365"/>
          <a:ext cx="31813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337185</xdr:colOff>
      <xdr:row>24</xdr:row>
      <xdr:rowOff>74930</xdr:rowOff>
    </xdr:from>
    <xdr:to>
      <xdr:col>16</xdr:col>
      <xdr:colOff>477520</xdr:colOff>
      <xdr:row>26</xdr:row>
      <xdr:rowOff>124460</xdr:rowOff>
    </xdr:to>
    <xdr:sp macro="" textlink="">
      <xdr:nvSpPr>
        <xdr:cNvPr id="65" name="Down Arrow 95">
          <a:extLst>
            <a:ext uri="{FF2B5EF4-FFF2-40B4-BE49-F238E27FC236}">
              <a16:creationId xmlns:a16="http://schemas.microsoft.com/office/drawing/2014/main" id="{A0687D69-77FF-46EF-BAD0-D11638B4DB9E}"/>
            </a:ext>
          </a:extLst>
        </xdr:cNvPr>
        <xdr:cNvSpPr/>
      </xdr:nvSpPr>
      <xdr:spPr>
        <a:xfrm>
          <a:off x="11309985" y="4875530"/>
          <a:ext cx="14033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272415</xdr:colOff>
      <xdr:row>24</xdr:row>
      <xdr:rowOff>74295</xdr:rowOff>
    </xdr:from>
    <xdr:to>
      <xdr:col>21</xdr:col>
      <xdr:colOff>441960</xdr:colOff>
      <xdr:row>26</xdr:row>
      <xdr:rowOff>123825</xdr:rowOff>
    </xdr:to>
    <xdr:sp macro="" textlink="">
      <xdr:nvSpPr>
        <xdr:cNvPr id="66" name="Down Arrow 96">
          <a:extLst>
            <a:ext uri="{FF2B5EF4-FFF2-40B4-BE49-F238E27FC236}">
              <a16:creationId xmlns:a16="http://schemas.microsoft.com/office/drawing/2014/main" id="{66000A1F-AFE7-4EE1-817B-00EB7743DC69}"/>
            </a:ext>
          </a:extLst>
        </xdr:cNvPr>
        <xdr:cNvSpPr/>
      </xdr:nvSpPr>
      <xdr:spPr>
        <a:xfrm>
          <a:off x="14674215" y="4874895"/>
          <a:ext cx="16954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20</xdr:col>
      <xdr:colOff>613410</xdr:colOff>
      <xdr:row>26</xdr:row>
      <xdr:rowOff>13335</xdr:rowOff>
    </xdr:from>
    <xdr:to>
      <xdr:col>21</xdr:col>
      <xdr:colOff>246380</xdr:colOff>
      <xdr:row>26</xdr:row>
      <xdr:rowOff>173355</xdr:rowOff>
    </xdr:to>
    <xdr:sp macro="" textlink="">
      <xdr:nvSpPr>
        <xdr:cNvPr id="67" name="Right Arrow 97">
          <a:extLst>
            <a:ext uri="{FF2B5EF4-FFF2-40B4-BE49-F238E27FC236}">
              <a16:creationId xmlns:a16="http://schemas.microsoft.com/office/drawing/2014/main" id="{573BA9E2-C47D-4214-A0C8-3826DC0C07ED}"/>
            </a:ext>
          </a:extLst>
        </xdr:cNvPr>
        <xdr:cNvSpPr/>
      </xdr:nvSpPr>
      <xdr:spPr>
        <a:xfrm>
          <a:off x="14329410" y="5213985"/>
          <a:ext cx="318770" cy="16002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501650</xdr:colOff>
      <xdr:row>25</xdr:row>
      <xdr:rowOff>189230</xdr:rowOff>
    </xdr:from>
    <xdr:to>
      <xdr:col>21</xdr:col>
      <xdr:colOff>674370</xdr:colOff>
      <xdr:row>26</xdr:row>
      <xdr:rowOff>183515</xdr:rowOff>
    </xdr:to>
    <xdr:sp macro="" textlink="">
      <xdr:nvSpPr>
        <xdr:cNvPr id="68" name="Chevron 98">
          <a:extLst>
            <a:ext uri="{FF2B5EF4-FFF2-40B4-BE49-F238E27FC236}">
              <a16:creationId xmlns:a16="http://schemas.microsoft.com/office/drawing/2014/main" id="{453F0B6C-E1C3-4573-8B89-F1A673DB4E5D}"/>
            </a:ext>
          </a:extLst>
        </xdr:cNvPr>
        <xdr:cNvSpPr/>
      </xdr:nvSpPr>
      <xdr:spPr>
        <a:xfrm>
          <a:off x="14903450" y="5189855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353060</xdr:colOff>
      <xdr:row>16</xdr:row>
      <xdr:rowOff>109220</xdr:rowOff>
    </xdr:from>
    <xdr:to>
      <xdr:col>22</xdr:col>
      <xdr:colOff>349250</xdr:colOff>
      <xdr:row>19</xdr:row>
      <xdr:rowOff>183515</xdr:rowOff>
    </xdr:to>
    <xdr:sp macro="" textlink="">
      <xdr:nvSpPr>
        <xdr:cNvPr id="69" name="U-Turn Arrow 99">
          <a:extLst>
            <a:ext uri="{FF2B5EF4-FFF2-40B4-BE49-F238E27FC236}">
              <a16:creationId xmlns:a16="http://schemas.microsoft.com/office/drawing/2014/main" id="{AD6B19A8-5799-46D2-844B-2EBE9171874D}"/>
            </a:ext>
          </a:extLst>
        </xdr:cNvPr>
        <xdr:cNvSpPr/>
      </xdr:nvSpPr>
      <xdr:spPr>
        <a:xfrm flipH="1">
          <a:off x="5153660" y="3309620"/>
          <a:ext cx="10283190" cy="674370"/>
        </a:xfrm>
        <a:prstGeom prst="uturnArrow">
          <a:avLst>
            <a:gd name="adj1" fmla="val 12310"/>
            <a:gd name="adj2" fmla="val 14122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488950</xdr:colOff>
      <xdr:row>24</xdr:row>
      <xdr:rowOff>22225</xdr:rowOff>
    </xdr:from>
    <xdr:to>
      <xdr:col>23</xdr:col>
      <xdr:colOff>250825</xdr:colOff>
      <xdr:row>24</xdr:row>
      <xdr:rowOff>167005</xdr:rowOff>
    </xdr:to>
    <xdr:sp macro="" textlink="">
      <xdr:nvSpPr>
        <xdr:cNvPr id="70" name="Right Arrow 100">
          <a:extLst>
            <a:ext uri="{FF2B5EF4-FFF2-40B4-BE49-F238E27FC236}">
              <a16:creationId xmlns:a16="http://schemas.microsoft.com/office/drawing/2014/main" id="{BECAC96F-62B7-480A-986E-1EE3D5242C6F}"/>
            </a:ext>
          </a:extLst>
        </xdr:cNvPr>
        <xdr:cNvSpPr/>
      </xdr:nvSpPr>
      <xdr:spPr>
        <a:xfrm rot="10800000">
          <a:off x="15576550" y="4822825"/>
          <a:ext cx="44767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378460</xdr:colOff>
      <xdr:row>18</xdr:row>
      <xdr:rowOff>31750</xdr:rowOff>
    </xdr:from>
    <xdr:to>
      <xdr:col>24</xdr:col>
      <xdr:colOff>304800</xdr:colOff>
      <xdr:row>19</xdr:row>
      <xdr:rowOff>189230</xdr:rowOff>
    </xdr:to>
    <xdr:sp macro="" textlink="">
      <xdr:nvSpPr>
        <xdr:cNvPr id="71" name="U-Turn Arrow 101">
          <a:extLst>
            <a:ext uri="{FF2B5EF4-FFF2-40B4-BE49-F238E27FC236}">
              <a16:creationId xmlns:a16="http://schemas.microsoft.com/office/drawing/2014/main" id="{B839D480-72CB-4487-BC54-DA2AB744A52B}"/>
            </a:ext>
          </a:extLst>
        </xdr:cNvPr>
        <xdr:cNvSpPr/>
      </xdr:nvSpPr>
      <xdr:spPr>
        <a:xfrm rot="10800000" flipV="1">
          <a:off x="13408660" y="3632200"/>
          <a:ext cx="3355340" cy="357505"/>
        </a:xfrm>
        <a:prstGeom prst="uturnArrow">
          <a:avLst>
            <a:gd name="adj1" fmla="val 22750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266700</xdr:colOff>
      <xdr:row>18</xdr:row>
      <xdr:rowOff>200660</xdr:rowOff>
    </xdr:from>
    <xdr:to>
      <xdr:col>25</xdr:col>
      <xdr:colOff>380365</xdr:colOff>
      <xdr:row>19</xdr:row>
      <xdr:rowOff>185420</xdr:rowOff>
    </xdr:to>
    <xdr:sp macro="" textlink="">
      <xdr:nvSpPr>
        <xdr:cNvPr id="72" name="U-Turn Arrow 102">
          <a:extLst>
            <a:ext uri="{FF2B5EF4-FFF2-40B4-BE49-F238E27FC236}">
              <a16:creationId xmlns:a16="http://schemas.microsoft.com/office/drawing/2014/main" id="{C23AC474-8508-40C7-8A08-262393A5CCA0}"/>
            </a:ext>
          </a:extLst>
        </xdr:cNvPr>
        <xdr:cNvSpPr/>
      </xdr:nvSpPr>
      <xdr:spPr>
        <a:xfrm rot="10800000" flipV="1">
          <a:off x="16040100" y="3801110"/>
          <a:ext cx="1485265" cy="184785"/>
        </a:xfrm>
        <a:prstGeom prst="uturnArrow">
          <a:avLst>
            <a:gd name="adj1" fmla="val 50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2D1C0ADB-26B6-47D5-B020-19F969900919}" autoFormatId="16" applyNumberFormats="0" applyBorderFormats="0" applyFontFormats="0" applyPatternFormats="0" applyAlignmentFormats="0" applyWidthHeightFormats="0">
  <queryTableRefresh nextId="7">
    <queryTableFields count="6">
      <queryTableField id="1" name="Task Number" tableColumnId="1"/>
      <queryTableField id="2" name="Task Description" tableColumnId="2"/>
      <queryTableField id="3" name="Resource" tableColumnId="3"/>
      <queryTableField id="4" name="ST (Minutes)" tableColumnId="4"/>
      <queryTableField id="5" name="Next Task" tableColumnId="5"/>
      <queryTableField id="6" name="Workst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739B9-0010-4397-84A2-7AA6CCE9CA6A}" name="Feasable_Solution" displayName="Feasable_Solution" ref="B4:G97" tableType="queryTable" totalsRowShown="0" headerRowDxfId="10" dataDxfId="8" headerRowBorderDxfId="9" tableBorderDxfId="7" totalsRowBorderDxfId="6">
  <autoFilter ref="B4:G97" xr:uid="{D8D30D8C-6475-42D9-9D08-6C3A0F2F2965}"/>
  <tableColumns count="6">
    <tableColumn id="1" xr3:uid="{E4BCE483-606B-4564-8E32-270EF76D3583}" uniqueName="1" name="Task Number" queryTableFieldId="1" dataDxfId="5"/>
    <tableColumn id="2" xr3:uid="{D9E2CE6D-594A-466C-8B99-25C8FEDAA95C}" uniqueName="2" name="Task Description" queryTableFieldId="2" dataDxfId="4"/>
    <tableColumn id="3" xr3:uid="{0704093F-F9D0-41F6-B81E-E289499F78B3}" uniqueName="3" name="Resource" queryTableFieldId="3" dataDxfId="3"/>
    <tableColumn id="4" xr3:uid="{22EFD9A7-074B-4BFE-8BE8-26EB824EEE74}" uniqueName="4" name="ST (Minutes)" queryTableFieldId="4" dataDxfId="2"/>
    <tableColumn id="5" xr3:uid="{85E1E867-03A9-4335-B368-A771DC66391D}" uniqueName="5" name="Next Task" queryTableFieldId="5" dataDxfId="1"/>
    <tableColumn id="6" xr3:uid="{CB8AFC85-A6C2-4F25-B62A-FEE8ABC794AE}" uniqueName="6" name="Workstation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British_racing_green" TargetMode="External"/><Relationship Id="rId299" Type="http://schemas.openxmlformats.org/officeDocument/2006/relationships/hyperlink" Target="https://en.wikipedia.org/wiki/Shades_of_purple" TargetMode="External"/><Relationship Id="rId303" Type="http://schemas.openxmlformats.org/officeDocument/2006/relationships/hyperlink" Target="https://en.wikipedia.org/wiki/List_of_Crayola_crayon_colors" TargetMode="External"/><Relationship Id="rId21" Type="http://schemas.openxmlformats.org/officeDocument/2006/relationships/hyperlink" Target="https://en.wikipedia.org/wiki/Amaranth_(color)" TargetMode="External"/><Relationship Id="rId42" Type="http://schemas.openxmlformats.org/officeDocument/2006/relationships/hyperlink" Target="https://en.wikipedia.org/wiki/Shades_of_green" TargetMode="External"/><Relationship Id="rId63" Type="http://schemas.openxmlformats.org/officeDocument/2006/relationships/hyperlink" Target="https://en.wikipedia.org/wiki/Beige" TargetMode="External"/><Relationship Id="rId84" Type="http://schemas.openxmlformats.org/officeDocument/2006/relationships/hyperlink" Target="https://en.wikipedia.org/wiki/Blond" TargetMode="External"/><Relationship Id="rId138" Type="http://schemas.openxmlformats.org/officeDocument/2006/relationships/hyperlink" Target="https://en.wikipedia.org/wiki/Cadmium_pigments" TargetMode="External"/><Relationship Id="rId159" Type="http://schemas.openxmlformats.org/officeDocument/2006/relationships/hyperlink" Target="https://en.wikipedia.org/wiki/Shades_of_green" TargetMode="External"/><Relationship Id="rId324" Type="http://schemas.openxmlformats.org/officeDocument/2006/relationships/hyperlink" Target="https://en.wikipedia.org/wiki/Shades_of_blue" TargetMode="External"/><Relationship Id="rId345" Type="http://schemas.openxmlformats.org/officeDocument/2006/relationships/hyperlink" Target="https://en.wikipedia.org/wiki/Fulvous" TargetMode="External"/><Relationship Id="rId170" Type="http://schemas.openxmlformats.org/officeDocument/2006/relationships/hyperlink" Target="https://en.wikipedia.org/wiki/Cerulean" TargetMode="External"/><Relationship Id="rId191" Type="http://schemas.openxmlformats.org/officeDocument/2006/relationships/hyperlink" Target="https://en.wikipedia.org/wiki/Shades_of_red" TargetMode="External"/><Relationship Id="rId205" Type="http://schemas.openxmlformats.org/officeDocument/2006/relationships/hyperlink" Target="https://en.wikipedia.org/wiki/Copper_(color)" TargetMode="External"/><Relationship Id="rId226" Type="http://schemas.openxmlformats.org/officeDocument/2006/relationships/hyperlink" Target="https://en.wikipedia.org/wiki/List_of_Crayola_crayon_colors" TargetMode="External"/><Relationship Id="rId247" Type="http://schemas.openxmlformats.org/officeDocument/2006/relationships/hyperlink" Target="https://en.wikipedia.org/wiki/Shades_of_green" TargetMode="External"/><Relationship Id="rId107" Type="http://schemas.openxmlformats.org/officeDocument/2006/relationships/hyperlink" Target="https://en.wikipedia.org/wiki/Shades_of_green" TargetMode="External"/><Relationship Id="rId268" Type="http://schemas.openxmlformats.org/officeDocument/2006/relationships/hyperlink" Target="https://en.wikipedia.org/wiki/Jungle_green" TargetMode="External"/><Relationship Id="rId289" Type="http://schemas.openxmlformats.org/officeDocument/2006/relationships/hyperlink" Target="https://en.wikipedia.org/wiki/Eggshell_(color)" TargetMode="External"/><Relationship Id="rId11" Type="http://schemas.openxmlformats.org/officeDocument/2006/relationships/hyperlink" Target="https://en.wikipedia.org/wiki/Acid_green" TargetMode="External"/><Relationship Id="rId32" Type="http://schemas.openxmlformats.org/officeDocument/2006/relationships/hyperlink" Target="https://en.wikipedia.org/wiki/Fuchsia_(color)" TargetMode="External"/><Relationship Id="rId53" Type="http://schemas.openxmlformats.org/officeDocument/2006/relationships/hyperlink" Target="https://en.wikipedia.org/wiki/Baby_blue" TargetMode="External"/><Relationship Id="rId74" Type="http://schemas.openxmlformats.org/officeDocument/2006/relationships/hyperlink" Target="https://en.wikipedia.org/wiki/Shades_of_black" TargetMode="External"/><Relationship Id="rId128" Type="http://schemas.openxmlformats.org/officeDocument/2006/relationships/hyperlink" Target="https://en.wikipedia.org/wiki/Burnt_sienna" TargetMode="External"/><Relationship Id="rId149" Type="http://schemas.openxmlformats.org/officeDocument/2006/relationships/hyperlink" Target="https://en.wikipedia.org/wiki/Sky_blue" TargetMode="External"/><Relationship Id="rId314" Type="http://schemas.openxmlformats.org/officeDocument/2006/relationships/hyperlink" Target="https://en.wikipedia.org/wiki/Shades_of_green" TargetMode="External"/><Relationship Id="rId335" Type="http://schemas.openxmlformats.org/officeDocument/2006/relationships/hyperlink" Target="https://en.wikipedia.org/wiki/Shades_of_pink" TargetMode="External"/><Relationship Id="rId5" Type="http://schemas.openxmlformats.org/officeDocument/2006/relationships/hyperlink" Target="https://en.wikipedia.org/wiki/HSL_and_HSV" TargetMode="External"/><Relationship Id="rId95" Type="http://schemas.openxmlformats.org/officeDocument/2006/relationships/hyperlink" Target="https://en.wikipedia.org/wiki/Blue-green" TargetMode="External"/><Relationship Id="rId160" Type="http://schemas.openxmlformats.org/officeDocument/2006/relationships/hyperlink" Target="https://en.wikipedia.org/wiki/Catawba_(grape)" TargetMode="External"/><Relationship Id="rId181" Type="http://schemas.openxmlformats.org/officeDocument/2006/relationships/hyperlink" Target="https://en.wikipedia.org/wiki/Shades_of_pink" TargetMode="External"/><Relationship Id="rId216" Type="http://schemas.openxmlformats.org/officeDocument/2006/relationships/hyperlink" Target="https://en.wikipedia.org/wiki/Cornflower_blue" TargetMode="External"/><Relationship Id="rId237" Type="http://schemas.openxmlformats.org/officeDocument/2006/relationships/hyperlink" Target="https://en.wikipedia.org/wiki/Electric_blue_(color)" TargetMode="External"/><Relationship Id="rId258" Type="http://schemas.openxmlformats.org/officeDocument/2006/relationships/hyperlink" Target="https://en.wikipedia.org/wiki/X11_color_names" TargetMode="External"/><Relationship Id="rId279" Type="http://schemas.openxmlformats.org/officeDocument/2006/relationships/hyperlink" Target="https://en.wikipedia.org/wiki/Dodger_blue" TargetMode="External"/><Relationship Id="rId22" Type="http://schemas.openxmlformats.org/officeDocument/2006/relationships/hyperlink" Target="https://en.wikipedia.org/wiki/Amaranth_(color)" TargetMode="External"/><Relationship Id="rId43" Type="http://schemas.openxmlformats.org/officeDocument/2006/relationships/hyperlink" Target="https://en.wikipedia.org/wiki/Arylide_yellow" TargetMode="External"/><Relationship Id="rId64" Type="http://schemas.openxmlformats.org/officeDocument/2006/relationships/hyperlink" Target="https://en.wikipedia.org/wiki/Sapphire_(color)" TargetMode="External"/><Relationship Id="rId118" Type="http://schemas.openxmlformats.org/officeDocument/2006/relationships/hyperlink" Target="https://en.wikipedia.org/wiki/Bronze_(color)" TargetMode="External"/><Relationship Id="rId139" Type="http://schemas.openxmlformats.org/officeDocument/2006/relationships/hyperlink" Target="https://en.wikipedia.org/wiki/Cadmium_pigments" TargetMode="External"/><Relationship Id="rId290" Type="http://schemas.openxmlformats.org/officeDocument/2006/relationships/hyperlink" Target="https://en.wikipedia.org/wiki/Egyptian_blue" TargetMode="External"/><Relationship Id="rId304" Type="http://schemas.openxmlformats.org/officeDocument/2006/relationships/hyperlink" Target="https://en.wikipedia.org/wiki/Shades_of_violet" TargetMode="External"/><Relationship Id="rId325" Type="http://schemas.openxmlformats.org/officeDocument/2006/relationships/hyperlink" Target="https://en.wikipedia.org/wiki/Shades_of_green" TargetMode="External"/><Relationship Id="rId346" Type="http://schemas.openxmlformats.org/officeDocument/2006/relationships/hyperlink" Target="https://en.wikipedia.org/wiki/List_of_Crayola_crayon_colors" TargetMode="External"/><Relationship Id="rId85" Type="http://schemas.openxmlformats.org/officeDocument/2006/relationships/hyperlink" Target="https://en.wikipedia.org/wiki/Blood_red" TargetMode="External"/><Relationship Id="rId150" Type="http://schemas.openxmlformats.org/officeDocument/2006/relationships/hyperlink" Target="https://en.wikipedia.org/wiki/Caput_mortuum_(pigment)" TargetMode="External"/><Relationship Id="rId171" Type="http://schemas.openxmlformats.org/officeDocument/2006/relationships/hyperlink" Target="https://en.wikipedia.org/wiki/Cerulean" TargetMode="External"/><Relationship Id="rId192" Type="http://schemas.openxmlformats.org/officeDocument/2006/relationships/hyperlink" Target="https://en.wikipedia.org/wiki/Chrome_yellow" TargetMode="External"/><Relationship Id="rId206" Type="http://schemas.openxmlformats.org/officeDocument/2006/relationships/hyperlink" Target="https://en.wikipedia.org/wiki/Copper_(color)" TargetMode="External"/><Relationship Id="rId227" Type="http://schemas.openxmlformats.org/officeDocument/2006/relationships/hyperlink" Target="https://en.wikipedia.org/wiki/Cyan" TargetMode="External"/><Relationship Id="rId248" Type="http://schemas.openxmlformats.org/officeDocument/2006/relationships/hyperlink" Target="https://en.wikipedia.org/wiki/Olive_(color)" TargetMode="External"/><Relationship Id="rId269" Type="http://schemas.openxmlformats.org/officeDocument/2006/relationships/hyperlink" Target="https://en.wikipedia.org/wiki/Shades_of_pink" TargetMode="External"/><Relationship Id="rId12" Type="http://schemas.openxmlformats.org/officeDocument/2006/relationships/hyperlink" Target="https://en.wikipedia.org/wiki/Air_Force_blue" TargetMode="External"/><Relationship Id="rId33" Type="http://schemas.openxmlformats.org/officeDocument/2006/relationships/hyperlink" Target="https://en.wikipedia.org/wiki/Ruby_(color)" TargetMode="External"/><Relationship Id="rId108" Type="http://schemas.openxmlformats.org/officeDocument/2006/relationships/hyperlink" Target="https://en.wikipedia.org/wiki/Shades_of_brown" TargetMode="External"/><Relationship Id="rId129" Type="http://schemas.openxmlformats.org/officeDocument/2006/relationships/hyperlink" Target="https://en.wikipedia.org/wiki/Burnt_umber" TargetMode="External"/><Relationship Id="rId280" Type="http://schemas.openxmlformats.org/officeDocument/2006/relationships/hyperlink" Target="https://en.wikipedia.org/wiki/Rose_(color)" TargetMode="External"/><Relationship Id="rId315" Type="http://schemas.openxmlformats.org/officeDocument/2006/relationships/hyperlink" Target="https://en.wikipedia.org/wiki/Desert_sand_(color)" TargetMode="External"/><Relationship Id="rId336" Type="http://schemas.openxmlformats.org/officeDocument/2006/relationships/hyperlink" Target="https://en.wikipedia.org/wiki/Raspberry_(color)" TargetMode="External"/><Relationship Id="rId54" Type="http://schemas.openxmlformats.org/officeDocument/2006/relationships/hyperlink" Target="https://en.wikipedia.org/wiki/Shades_of_pink" TargetMode="External"/><Relationship Id="rId75" Type="http://schemas.openxmlformats.org/officeDocument/2006/relationships/hyperlink" Target="https://en.wikipedia.org/wiki/Shades_of_black" TargetMode="External"/><Relationship Id="rId96" Type="http://schemas.openxmlformats.org/officeDocument/2006/relationships/hyperlink" Target="https://en.wikipedia.org/wiki/Blue-green" TargetMode="External"/><Relationship Id="rId140" Type="http://schemas.openxmlformats.org/officeDocument/2006/relationships/hyperlink" Target="https://en.wikipedia.org/wiki/Coffee_(color)" TargetMode="External"/><Relationship Id="rId161" Type="http://schemas.openxmlformats.org/officeDocument/2006/relationships/hyperlink" Target="https://en.wikipedia.org/wiki/List_of_Crayola_crayon_colors" TargetMode="External"/><Relationship Id="rId182" Type="http://schemas.openxmlformats.org/officeDocument/2006/relationships/hyperlink" Target="https://en.wikipedia.org/wiki/Chestnut_(color)" TargetMode="External"/><Relationship Id="rId217" Type="http://schemas.openxmlformats.org/officeDocument/2006/relationships/hyperlink" Target="https://en.wikipedia.org/wiki/Shades_of_white" TargetMode="External"/><Relationship Id="rId6" Type="http://schemas.openxmlformats.org/officeDocument/2006/relationships/hyperlink" Target="https://en.wikipedia.org/wiki/HSL_and_HSV" TargetMode="External"/><Relationship Id="rId238" Type="http://schemas.openxmlformats.org/officeDocument/2006/relationships/hyperlink" Target="https://en.wikipedia.org/wiki/Goldenrod_(color)" TargetMode="External"/><Relationship Id="rId259" Type="http://schemas.openxmlformats.org/officeDocument/2006/relationships/hyperlink" Target="https://en.wikipedia.org/wiki/Slate_gray" TargetMode="External"/><Relationship Id="rId23" Type="http://schemas.openxmlformats.org/officeDocument/2006/relationships/hyperlink" Target="https://en.wikipedia.org/wiki/Amaranth_(color)" TargetMode="External"/><Relationship Id="rId119" Type="http://schemas.openxmlformats.org/officeDocument/2006/relationships/hyperlink" Target="https://en.wikipedia.org/wiki/Brown" TargetMode="External"/><Relationship Id="rId270" Type="http://schemas.openxmlformats.org/officeDocument/2006/relationships/hyperlink" Target="https://en.wikipedia.org/wiki/Saffron_(color)" TargetMode="External"/><Relationship Id="rId291" Type="http://schemas.openxmlformats.org/officeDocument/2006/relationships/hyperlink" Target="https://en.wikipedia.org/wiki/Eigengrau" TargetMode="External"/><Relationship Id="rId305" Type="http://schemas.openxmlformats.org/officeDocument/2006/relationships/hyperlink" Target="https://en.wikipedia.org/wiki/Erin_(color)" TargetMode="External"/><Relationship Id="rId326" Type="http://schemas.openxmlformats.org/officeDocument/2006/relationships/hyperlink" Target="https://en.wikipedia.org/wiki/Shades_of_green" TargetMode="External"/><Relationship Id="rId44" Type="http://schemas.openxmlformats.org/officeDocument/2006/relationships/hyperlink" Target="https://en.wikipedia.org/wiki/Shades_of_gray" TargetMode="External"/><Relationship Id="rId65" Type="http://schemas.openxmlformats.org/officeDocument/2006/relationships/hyperlink" Target="https://en.wikipedia.org/wiki/Ruby_(color)" TargetMode="External"/><Relationship Id="rId86" Type="http://schemas.openxmlformats.org/officeDocument/2006/relationships/hyperlink" Target="https://en.wikipedia.org/wiki/Blue" TargetMode="External"/><Relationship Id="rId130" Type="http://schemas.openxmlformats.org/officeDocument/2006/relationships/hyperlink" Target="https://en.wikipedia.org/wiki/Byzantium_(color)" TargetMode="External"/><Relationship Id="rId151" Type="http://schemas.openxmlformats.org/officeDocument/2006/relationships/hyperlink" Target="https://en.wikipedia.org/wiki/Cardinal_(color)" TargetMode="External"/><Relationship Id="rId172" Type="http://schemas.openxmlformats.org/officeDocument/2006/relationships/hyperlink" Target="https://en.wikipedia.org/wiki/CG_Blue" TargetMode="External"/><Relationship Id="rId193" Type="http://schemas.openxmlformats.org/officeDocument/2006/relationships/hyperlink" Target="https://en.wikipedia.org/wiki/Cinereous" TargetMode="External"/><Relationship Id="rId207" Type="http://schemas.openxmlformats.org/officeDocument/2006/relationships/hyperlink" Target="https://en.wikipedia.org/wiki/Copper_(color)" TargetMode="External"/><Relationship Id="rId228" Type="http://schemas.openxmlformats.org/officeDocument/2006/relationships/hyperlink" Target="https://en.wikipedia.org/wiki/Cyan" TargetMode="External"/><Relationship Id="rId249" Type="http://schemas.openxmlformats.org/officeDocument/2006/relationships/hyperlink" Target="https://en.wikipedia.org/wiki/Shades_of_orange" TargetMode="External"/><Relationship Id="rId13" Type="http://schemas.openxmlformats.org/officeDocument/2006/relationships/hyperlink" Target="https://en.wikipedia.org/wiki/Aero_blue" TargetMode="External"/><Relationship Id="rId109" Type="http://schemas.openxmlformats.org/officeDocument/2006/relationships/hyperlink" Target="https://en.wikipedia.org/wiki/List_of_Crayola_crayon_colors" TargetMode="External"/><Relationship Id="rId260" Type="http://schemas.openxmlformats.org/officeDocument/2006/relationships/hyperlink" Target="https://en.wikipedia.org/wiki/Spring_green" TargetMode="External"/><Relationship Id="rId281" Type="http://schemas.openxmlformats.org/officeDocument/2006/relationships/hyperlink" Target="https://en.wikipedia.org/wiki/Desert_sand_(color)" TargetMode="External"/><Relationship Id="rId316" Type="http://schemas.openxmlformats.org/officeDocument/2006/relationships/hyperlink" Target="https://en.wikipedia.org/wiki/List_of_Crayola_crayon_colors" TargetMode="External"/><Relationship Id="rId337" Type="http://schemas.openxmlformats.org/officeDocument/2006/relationships/hyperlink" Target="https://en.wikipedia.org/wiki/Rose_(color)" TargetMode="External"/><Relationship Id="rId34" Type="http://schemas.openxmlformats.org/officeDocument/2006/relationships/hyperlink" Target="https://en.wikipedia.org/wiki/Shades_of_white" TargetMode="External"/><Relationship Id="rId55" Type="http://schemas.openxmlformats.org/officeDocument/2006/relationships/hyperlink" Target="https://en.wikipedia.org/wiki/Shades_of_white" TargetMode="External"/><Relationship Id="rId76" Type="http://schemas.openxmlformats.org/officeDocument/2006/relationships/hyperlink" Target="https://en.wikipedia.org/wiki/Shades_of_black" TargetMode="External"/><Relationship Id="rId97" Type="http://schemas.openxmlformats.org/officeDocument/2006/relationships/hyperlink" Target="https://en.wikipedia.org/wiki/List_of_Crayola_crayon_colors" TargetMode="External"/><Relationship Id="rId120" Type="http://schemas.openxmlformats.org/officeDocument/2006/relationships/hyperlink" Target="https://en.wikipedia.org/wiki/List_of_Crayola_crayon_colors" TargetMode="External"/><Relationship Id="rId141" Type="http://schemas.openxmlformats.org/officeDocument/2006/relationships/hyperlink" Target="https://en.wikipedia.org/wiki/Coffee_(color)" TargetMode="External"/><Relationship Id="rId7" Type="http://schemas.openxmlformats.org/officeDocument/2006/relationships/hyperlink" Target="https://en.wikipedia.org/wiki/HSL_and_HSV" TargetMode="External"/><Relationship Id="rId162" Type="http://schemas.openxmlformats.org/officeDocument/2006/relationships/hyperlink" Target="https://en.wikipedia.org/wiki/Shades_of_green" TargetMode="External"/><Relationship Id="rId183" Type="http://schemas.openxmlformats.org/officeDocument/2006/relationships/hyperlink" Target="https://en.wikipedia.org/wiki/Shades_of_red" TargetMode="External"/><Relationship Id="rId218" Type="http://schemas.openxmlformats.org/officeDocument/2006/relationships/hyperlink" Target="https://en.wikipedia.org/wiki/List_of_Crayola_crayon_colors" TargetMode="External"/><Relationship Id="rId239" Type="http://schemas.openxmlformats.org/officeDocument/2006/relationships/hyperlink" Target="https://en.wikipedia.org/wiki/Shades_of_green" TargetMode="External"/><Relationship Id="rId250" Type="http://schemas.openxmlformats.org/officeDocument/2006/relationships/hyperlink" Target="https://en.wikipedia.org/wiki/Orchid_(color)" TargetMode="External"/><Relationship Id="rId271" Type="http://schemas.openxmlformats.org/officeDocument/2006/relationships/hyperlink" Target="https://en.wikipedia.org/wiki/Sky_blue" TargetMode="External"/><Relationship Id="rId292" Type="http://schemas.openxmlformats.org/officeDocument/2006/relationships/hyperlink" Target="https://en.wikipedia.org/wiki/Electric_blue_(color)" TargetMode="External"/><Relationship Id="rId306" Type="http://schemas.openxmlformats.org/officeDocument/2006/relationships/hyperlink" Target="https://en.wikipedia.org/wiki/Eton_blue" TargetMode="External"/><Relationship Id="rId24" Type="http://schemas.openxmlformats.org/officeDocument/2006/relationships/hyperlink" Target="https://en.wikipedia.org/wiki/Amaranth_(color)" TargetMode="External"/><Relationship Id="rId45" Type="http://schemas.openxmlformats.org/officeDocument/2006/relationships/hyperlink" Target="https://en.wikipedia.org/wiki/Shades_of_green" TargetMode="External"/><Relationship Id="rId66" Type="http://schemas.openxmlformats.org/officeDocument/2006/relationships/hyperlink" Target="https://en.wikipedia.org/wiki/X11_color_names" TargetMode="External"/><Relationship Id="rId87" Type="http://schemas.openxmlformats.org/officeDocument/2006/relationships/hyperlink" Target="https://en.wikipedia.org/wiki/Shades_of_blue" TargetMode="External"/><Relationship Id="rId110" Type="http://schemas.openxmlformats.org/officeDocument/2006/relationships/hyperlink" Target="https://en.wikipedia.org/wiki/Shades_of_green" TargetMode="External"/><Relationship Id="rId131" Type="http://schemas.openxmlformats.org/officeDocument/2006/relationships/hyperlink" Target="https://en.wikipedia.org/wiki/Byzantium_(color)" TargetMode="External"/><Relationship Id="rId327" Type="http://schemas.openxmlformats.org/officeDocument/2006/relationships/hyperlink" Target="https://en.wikipedia.org/wiki/Shades_of_green" TargetMode="External"/><Relationship Id="rId152" Type="http://schemas.openxmlformats.org/officeDocument/2006/relationships/hyperlink" Target="https://en.wikipedia.org/wiki/Spring_green" TargetMode="External"/><Relationship Id="rId173" Type="http://schemas.openxmlformats.org/officeDocument/2006/relationships/hyperlink" Target="https://en.wikipedia.org/wiki/CG_Red" TargetMode="External"/><Relationship Id="rId194" Type="http://schemas.openxmlformats.org/officeDocument/2006/relationships/hyperlink" Target="https://en.wikipedia.org/wiki/Vermilion" TargetMode="External"/><Relationship Id="rId208" Type="http://schemas.openxmlformats.org/officeDocument/2006/relationships/hyperlink" Target="https://en.wikipedia.org/wiki/Copper_(color)" TargetMode="External"/><Relationship Id="rId229" Type="http://schemas.openxmlformats.org/officeDocument/2006/relationships/hyperlink" Target="https://en.wikipedia.org/wiki/List_of_Crayola_crayon_colors" TargetMode="External"/><Relationship Id="rId240" Type="http://schemas.openxmlformats.org/officeDocument/2006/relationships/hyperlink" Target="https://en.wikipedia.org/wiki/Shades_of_green" TargetMode="External"/><Relationship Id="rId261" Type="http://schemas.openxmlformats.org/officeDocument/2006/relationships/hyperlink" Target="https://en.wikipedia.org/wiki/Turquoise_(color)" TargetMode="External"/><Relationship Id="rId14" Type="http://schemas.openxmlformats.org/officeDocument/2006/relationships/hyperlink" Target="https://en.wikipedia.org/wiki/African_violet_(color)" TargetMode="External"/><Relationship Id="rId35" Type="http://schemas.openxmlformats.org/officeDocument/2006/relationships/hyperlink" Target="https://en.wikipedia.org/wiki/Ao_(color)" TargetMode="External"/><Relationship Id="rId56" Type="http://schemas.openxmlformats.org/officeDocument/2006/relationships/hyperlink" Target="https://en.wikipedia.org/wiki/Baker-Miller_pink" TargetMode="External"/><Relationship Id="rId77" Type="http://schemas.openxmlformats.org/officeDocument/2006/relationships/hyperlink" Target="https://en.wikipedia.org/wiki/List_of_Crayola_crayon_colors" TargetMode="External"/><Relationship Id="rId100" Type="http://schemas.openxmlformats.org/officeDocument/2006/relationships/hyperlink" Target="https://en.wikipedia.org/wiki/Violet_(color)" TargetMode="External"/><Relationship Id="rId282" Type="http://schemas.openxmlformats.org/officeDocument/2006/relationships/hyperlink" Target="https://en.wikipedia.org/wiki/Duke_blue" TargetMode="External"/><Relationship Id="rId317" Type="http://schemas.openxmlformats.org/officeDocument/2006/relationships/hyperlink" Target="https://en.wikipedia.org/wiki/X11_color_names" TargetMode="External"/><Relationship Id="rId338" Type="http://schemas.openxmlformats.org/officeDocument/2006/relationships/hyperlink" Target="https://en.wikipedia.org/wiki/Sky_blue" TargetMode="External"/><Relationship Id="rId8" Type="http://schemas.openxmlformats.org/officeDocument/2006/relationships/hyperlink" Target="https://en.wikipedia.org/wiki/HSL_and_HSV" TargetMode="External"/><Relationship Id="rId98" Type="http://schemas.openxmlformats.org/officeDocument/2006/relationships/hyperlink" Target="https://en.wikipedia.org/wiki/Sapphire_(color)" TargetMode="External"/><Relationship Id="rId121" Type="http://schemas.openxmlformats.org/officeDocument/2006/relationships/hyperlink" Target="https://en.wikipedia.org/wiki/Shades_of_green" TargetMode="External"/><Relationship Id="rId142" Type="http://schemas.openxmlformats.org/officeDocument/2006/relationships/hyperlink" Target="https://en.wikipedia.org/wiki/Cambridge_Blue_(colour)" TargetMode="External"/><Relationship Id="rId163" Type="http://schemas.openxmlformats.org/officeDocument/2006/relationships/hyperlink" Target="https://en.wikipedia.org/wiki/Shades_of_cyan" TargetMode="External"/><Relationship Id="rId184" Type="http://schemas.openxmlformats.org/officeDocument/2006/relationships/hyperlink" Target="https://en.wikipedia.org/wiki/Shades_of_pink" TargetMode="External"/><Relationship Id="rId219" Type="http://schemas.openxmlformats.org/officeDocument/2006/relationships/hyperlink" Target="https://en.wikipedia.org/wiki/Cosmic_latte" TargetMode="External"/><Relationship Id="rId230" Type="http://schemas.openxmlformats.org/officeDocument/2006/relationships/hyperlink" Target="https://en.wikipedia.org/wiki/Shades_of_yellow" TargetMode="External"/><Relationship Id="rId251" Type="http://schemas.openxmlformats.org/officeDocument/2006/relationships/hyperlink" Target="https://en.wikipedia.org/wiki/Shades_of_green" TargetMode="External"/><Relationship Id="rId25" Type="http://schemas.openxmlformats.org/officeDocument/2006/relationships/hyperlink" Target="https://en.wikipedia.org/wiki/Amazon_(color)" TargetMode="External"/><Relationship Id="rId46" Type="http://schemas.openxmlformats.org/officeDocument/2006/relationships/hyperlink" Target="https://en.wikipedia.org/wiki/Shades_of_orange" TargetMode="External"/><Relationship Id="rId67" Type="http://schemas.openxmlformats.org/officeDocument/2006/relationships/hyperlink" Target="https://en.wikipedia.org/wiki/Bistre" TargetMode="External"/><Relationship Id="rId116" Type="http://schemas.openxmlformats.org/officeDocument/2006/relationships/hyperlink" Target="https://en.wikipedia.org/wiki/Rose_(color)" TargetMode="External"/><Relationship Id="rId137" Type="http://schemas.openxmlformats.org/officeDocument/2006/relationships/hyperlink" Target="https://en.wikipedia.org/wiki/Cadmium_pigments" TargetMode="External"/><Relationship Id="rId158" Type="http://schemas.openxmlformats.org/officeDocument/2006/relationships/hyperlink" Target="https://en.wikipedia.org/wiki/Shades_of_orange" TargetMode="External"/><Relationship Id="rId272" Type="http://schemas.openxmlformats.org/officeDocument/2006/relationships/hyperlink" Target="https://en.wikipedia.org/wiki/List_of_Crayola_crayon_colors" TargetMode="External"/><Relationship Id="rId293" Type="http://schemas.openxmlformats.org/officeDocument/2006/relationships/hyperlink" Target="https://en.wikipedia.org/wiki/Electric_green" TargetMode="External"/><Relationship Id="rId302" Type="http://schemas.openxmlformats.org/officeDocument/2006/relationships/hyperlink" Target="https://en.wikipedia.org/wiki/Indian_red_(color)" TargetMode="External"/><Relationship Id="rId307" Type="http://schemas.openxmlformats.org/officeDocument/2006/relationships/hyperlink" Target="https://en.wikipedia.org/wiki/Fallow_(color)" TargetMode="External"/><Relationship Id="rId323" Type="http://schemas.openxmlformats.org/officeDocument/2006/relationships/hyperlink" Target="https://en.wikipedia.org/wiki/Shades_of_white" TargetMode="External"/><Relationship Id="rId328" Type="http://schemas.openxmlformats.org/officeDocument/2006/relationships/hyperlink" Target="https://en.wikipedia.org/wiki/Beige" TargetMode="External"/><Relationship Id="rId344" Type="http://schemas.openxmlformats.org/officeDocument/2006/relationships/hyperlink" Target="https://en.wikipedia.org/wiki/Rose_(color)" TargetMode="External"/><Relationship Id="rId20" Type="http://schemas.openxmlformats.org/officeDocument/2006/relationships/hyperlink" Target="https://en.wikipedia.org/wiki/Amaranth_(color)" TargetMode="External"/><Relationship Id="rId41" Type="http://schemas.openxmlformats.org/officeDocument/2006/relationships/hyperlink" Target="https://en.wikipedia.org/wiki/Shades_of_green" TargetMode="External"/><Relationship Id="rId62" Type="http://schemas.openxmlformats.org/officeDocument/2006/relationships/hyperlink" Target="https://en.wikipedia.org/wiki/Shades_of_brown" TargetMode="External"/><Relationship Id="rId83" Type="http://schemas.openxmlformats.org/officeDocument/2006/relationships/hyperlink" Target="https://en.wikipedia.org/wiki/List_of_Crayola_crayon_colors" TargetMode="External"/><Relationship Id="rId88" Type="http://schemas.openxmlformats.org/officeDocument/2006/relationships/hyperlink" Target="https://en.wikipedia.org/wiki/Shades_of_blue" TargetMode="External"/><Relationship Id="rId111" Type="http://schemas.openxmlformats.org/officeDocument/2006/relationships/hyperlink" Target="https://en.wikipedia.org/wiki/Lilac_(color)" TargetMode="External"/><Relationship Id="rId132" Type="http://schemas.openxmlformats.org/officeDocument/2006/relationships/hyperlink" Target="https://en.wikipedia.org/wiki/Cadet_grey" TargetMode="External"/><Relationship Id="rId153" Type="http://schemas.openxmlformats.org/officeDocument/2006/relationships/hyperlink" Target="https://en.wikipedia.org/wiki/Carmine_(color)" TargetMode="External"/><Relationship Id="rId174" Type="http://schemas.openxmlformats.org/officeDocument/2006/relationships/hyperlink" Target="https://en.wikipedia.org/wiki/Champagne_(color)" TargetMode="External"/><Relationship Id="rId179" Type="http://schemas.openxmlformats.org/officeDocument/2006/relationships/hyperlink" Target="https://en.wikipedia.org/wiki/Chartreuse_(color)" TargetMode="External"/><Relationship Id="rId195" Type="http://schemas.openxmlformats.org/officeDocument/2006/relationships/hyperlink" Target="https://en.wikipedia.org/wiki/List_of_Crayola_crayon_colors" TargetMode="External"/><Relationship Id="rId209" Type="http://schemas.openxmlformats.org/officeDocument/2006/relationships/hyperlink" Target="https://en.wikipedia.org/wiki/Copper_(color)" TargetMode="External"/><Relationship Id="rId190" Type="http://schemas.openxmlformats.org/officeDocument/2006/relationships/hyperlink" Target="https://en.wikipedia.org/wiki/Chocolate_(color)" TargetMode="External"/><Relationship Id="rId204" Type="http://schemas.openxmlformats.org/officeDocument/2006/relationships/hyperlink" Target="https://en.wikipedia.org/wiki/Shades_of_gray" TargetMode="External"/><Relationship Id="rId220" Type="http://schemas.openxmlformats.org/officeDocument/2006/relationships/hyperlink" Target="https://en.wikipedia.org/wiki/Coyote_brown" TargetMode="External"/><Relationship Id="rId225" Type="http://schemas.openxmlformats.org/officeDocument/2006/relationships/hyperlink" Target="https://en.wikipedia.org/wiki/Crystal" TargetMode="External"/><Relationship Id="rId241" Type="http://schemas.openxmlformats.org/officeDocument/2006/relationships/hyperlink" Target="https://en.wikipedia.org/wiki/Jungle_green" TargetMode="External"/><Relationship Id="rId246" Type="http://schemas.openxmlformats.org/officeDocument/2006/relationships/hyperlink" Target="https://en.wikipedia.org/wiki/Shades_of_magenta" TargetMode="External"/><Relationship Id="rId267" Type="http://schemas.openxmlformats.org/officeDocument/2006/relationships/hyperlink" Target="https://en.wikipedia.org/wiki/Chestnut_(color)" TargetMode="External"/><Relationship Id="rId288" Type="http://schemas.openxmlformats.org/officeDocument/2006/relationships/hyperlink" Target="https://en.wikipedia.org/wiki/Eggplant_(color)" TargetMode="External"/><Relationship Id="rId15" Type="http://schemas.openxmlformats.org/officeDocument/2006/relationships/hyperlink" Target="https://en.wikipedia.org/wiki/Air_Force_blue" TargetMode="External"/><Relationship Id="rId36" Type="http://schemas.openxmlformats.org/officeDocument/2006/relationships/hyperlink" Target="https://en.wikipedia.org/wiki/Chartreuse_(color)" TargetMode="External"/><Relationship Id="rId57" Type="http://schemas.openxmlformats.org/officeDocument/2006/relationships/hyperlink" Target="https://en.wikipedia.org/wiki/List_of_Crayola_crayon_colors" TargetMode="External"/><Relationship Id="rId106" Type="http://schemas.openxmlformats.org/officeDocument/2006/relationships/hyperlink" Target="https://en.wikipedia.org/wiki/Shades_of_white" TargetMode="External"/><Relationship Id="rId127" Type="http://schemas.openxmlformats.org/officeDocument/2006/relationships/hyperlink" Target="https://en.wikipedia.org/wiki/Shades_of_orange" TargetMode="External"/><Relationship Id="rId262" Type="http://schemas.openxmlformats.org/officeDocument/2006/relationships/hyperlink" Target="https://en.wikipedia.org/wiki/Shades_of_violet" TargetMode="External"/><Relationship Id="rId283" Type="http://schemas.openxmlformats.org/officeDocument/2006/relationships/hyperlink" Target="https://en.wikipedia.org/wiki/Shades_of_white" TargetMode="External"/><Relationship Id="rId313" Type="http://schemas.openxmlformats.org/officeDocument/2006/relationships/hyperlink" Target="https://en.wikipedia.org/wiki/Shades_of_green" TargetMode="External"/><Relationship Id="rId318" Type="http://schemas.openxmlformats.org/officeDocument/2006/relationships/hyperlink" Target="https://en.wikipedia.org/wiki/Fire_engine_red" TargetMode="External"/><Relationship Id="rId339" Type="http://schemas.openxmlformats.org/officeDocument/2006/relationships/hyperlink" Target="https://en.wikipedia.org/wiki/Shades_of_violet" TargetMode="External"/><Relationship Id="rId10" Type="http://schemas.openxmlformats.org/officeDocument/2006/relationships/hyperlink" Target="https://en.wikipedia.org/wiki/List_of_Crayola_crayon_colors" TargetMode="External"/><Relationship Id="rId31" Type="http://schemas.openxmlformats.org/officeDocument/2006/relationships/hyperlink" Target="https://en.wikipedia.org/wiki/Antique_bronze" TargetMode="External"/><Relationship Id="rId52" Type="http://schemas.openxmlformats.org/officeDocument/2006/relationships/hyperlink" Target="https://en.wikipedia.org/wiki/Baby_blue" TargetMode="External"/><Relationship Id="rId73" Type="http://schemas.openxmlformats.org/officeDocument/2006/relationships/hyperlink" Target="https://en.wikipedia.org/wiki/Black" TargetMode="External"/><Relationship Id="rId78" Type="http://schemas.openxmlformats.org/officeDocument/2006/relationships/hyperlink" Target="https://en.wikipedia.org/wiki/Olive_(color)" TargetMode="External"/><Relationship Id="rId94" Type="http://schemas.openxmlformats.org/officeDocument/2006/relationships/hyperlink" Target="https://en.wikipedia.org/wiki/Blue-gray" TargetMode="External"/><Relationship Id="rId99" Type="http://schemas.openxmlformats.org/officeDocument/2006/relationships/hyperlink" Target="https://en.wikipedia.org/wiki/Indigo" TargetMode="External"/><Relationship Id="rId101" Type="http://schemas.openxmlformats.org/officeDocument/2006/relationships/hyperlink" Target="https://en.wikipedia.org/wiki/Violet_(color)" TargetMode="External"/><Relationship Id="rId122" Type="http://schemas.openxmlformats.org/officeDocument/2006/relationships/hyperlink" Target="https://en.wikipedia.org/wiki/Spring_bud" TargetMode="External"/><Relationship Id="rId143" Type="http://schemas.openxmlformats.org/officeDocument/2006/relationships/hyperlink" Target="https://en.wikipedia.org/wiki/Camel_(color)" TargetMode="External"/><Relationship Id="rId148" Type="http://schemas.openxmlformats.org/officeDocument/2006/relationships/hyperlink" Target="https://en.wikipedia.org/wiki/Candy_apple_red" TargetMode="External"/><Relationship Id="rId164" Type="http://schemas.openxmlformats.org/officeDocument/2006/relationships/hyperlink" Target="https://en.wikipedia.org/wiki/Shades_of_green" TargetMode="External"/><Relationship Id="rId169" Type="http://schemas.openxmlformats.org/officeDocument/2006/relationships/hyperlink" Target="https://en.wikipedia.org/wiki/Cerulean" TargetMode="External"/><Relationship Id="rId185" Type="http://schemas.openxmlformats.org/officeDocument/2006/relationships/hyperlink" Target="https://en.wikipedia.org/wiki/Rose_(color)" TargetMode="External"/><Relationship Id="rId334" Type="http://schemas.openxmlformats.org/officeDocument/2006/relationships/hyperlink" Target="https://en.wikipedia.org/wiki/Mauve" TargetMode="External"/><Relationship Id="rId4" Type="http://schemas.openxmlformats.org/officeDocument/2006/relationships/hyperlink" Target="https://en.wikipedia.org/wiki/RGB" TargetMode="External"/><Relationship Id="rId9" Type="http://schemas.openxmlformats.org/officeDocument/2006/relationships/hyperlink" Target="https://en.wikipedia.org/wiki/HSL_and_HSV" TargetMode="External"/><Relationship Id="rId180" Type="http://schemas.openxmlformats.org/officeDocument/2006/relationships/hyperlink" Target="https://en.wikipedia.org/wiki/Chartreuse_(color)" TargetMode="External"/><Relationship Id="rId210" Type="http://schemas.openxmlformats.org/officeDocument/2006/relationships/hyperlink" Target="https://en.wikipedia.org/wiki/Coquelicot" TargetMode="External"/><Relationship Id="rId215" Type="http://schemas.openxmlformats.org/officeDocument/2006/relationships/hyperlink" Target="https://en.wikipedia.org/wiki/Shades_of_red" TargetMode="External"/><Relationship Id="rId236" Type="http://schemas.openxmlformats.org/officeDocument/2006/relationships/hyperlink" Target="https://en.wikipedia.org/wiki/Shades_of_cyan" TargetMode="External"/><Relationship Id="rId257" Type="http://schemas.openxmlformats.org/officeDocument/2006/relationships/hyperlink" Target="https://en.wikipedia.org/wiki/Sky_blue" TargetMode="External"/><Relationship Id="rId278" Type="http://schemas.openxmlformats.org/officeDocument/2006/relationships/hyperlink" Target="https://en.wikipedia.org/wiki/Grey" TargetMode="External"/><Relationship Id="rId26" Type="http://schemas.openxmlformats.org/officeDocument/2006/relationships/hyperlink" Target="https://en.wikipedia.org/wiki/Amber_(color)" TargetMode="External"/><Relationship Id="rId231" Type="http://schemas.openxmlformats.org/officeDocument/2006/relationships/hyperlink" Target="https://en.wikipedia.org/wiki/Cyclamen_(color)" TargetMode="External"/><Relationship Id="rId252" Type="http://schemas.openxmlformats.org/officeDocument/2006/relationships/hyperlink" Target="https://en.wikipedia.org/wiki/Dark_purple" TargetMode="External"/><Relationship Id="rId273" Type="http://schemas.openxmlformats.org/officeDocument/2006/relationships/hyperlink" Target="https://en.wikipedia.org/wiki/Taupe" TargetMode="External"/><Relationship Id="rId294" Type="http://schemas.openxmlformats.org/officeDocument/2006/relationships/hyperlink" Target="https://en.wikipedia.org/wiki/Indigo" TargetMode="External"/><Relationship Id="rId308" Type="http://schemas.openxmlformats.org/officeDocument/2006/relationships/hyperlink" Target="https://en.wikipedia.org/wiki/Falu_red" TargetMode="External"/><Relationship Id="rId329" Type="http://schemas.openxmlformats.org/officeDocument/2006/relationships/hyperlink" Target="https://en.wikipedia.org/wiki/Bistre" TargetMode="External"/><Relationship Id="rId47" Type="http://schemas.openxmlformats.org/officeDocument/2006/relationships/hyperlink" Target="https://en.wikipedia.org/wiki/Auburn_(color)" TargetMode="External"/><Relationship Id="rId68" Type="http://schemas.openxmlformats.org/officeDocument/2006/relationships/hyperlink" Target="https://en.wikipedia.org/wiki/Bistre" TargetMode="External"/><Relationship Id="rId89" Type="http://schemas.openxmlformats.org/officeDocument/2006/relationships/hyperlink" Target="https://en.wikipedia.org/wiki/Shades_of_blue" TargetMode="External"/><Relationship Id="rId112" Type="http://schemas.openxmlformats.org/officeDocument/2006/relationships/hyperlink" Target="https://en.wikipedia.org/wiki/Maroon" TargetMode="External"/><Relationship Id="rId133" Type="http://schemas.openxmlformats.org/officeDocument/2006/relationships/hyperlink" Target="https://en.wikipedia.org/wiki/Cadet_grey" TargetMode="External"/><Relationship Id="rId154" Type="http://schemas.openxmlformats.org/officeDocument/2006/relationships/hyperlink" Target="https://en.wikipedia.org/wiki/Carmine_(color)" TargetMode="External"/><Relationship Id="rId175" Type="http://schemas.openxmlformats.org/officeDocument/2006/relationships/hyperlink" Target="https://en.wikipedia.org/wiki/Shades_of_pink" TargetMode="External"/><Relationship Id="rId340" Type="http://schemas.openxmlformats.org/officeDocument/2006/relationships/hyperlink" Target="https://en.wikipedia.org/wiki/List_of_Crayola_crayon_colors" TargetMode="External"/><Relationship Id="rId196" Type="http://schemas.openxmlformats.org/officeDocument/2006/relationships/hyperlink" Target="https://en.wikipedia.org/wiki/Citrine_(colour)" TargetMode="External"/><Relationship Id="rId200" Type="http://schemas.openxmlformats.org/officeDocument/2006/relationships/hyperlink" Target="https://en.wikipedia.org/wiki/Chocolate_(color)" TargetMode="External"/><Relationship Id="rId16" Type="http://schemas.openxmlformats.org/officeDocument/2006/relationships/hyperlink" Target="https://en.wikipedia.org/wiki/Shades_of_white" TargetMode="External"/><Relationship Id="rId221" Type="http://schemas.openxmlformats.org/officeDocument/2006/relationships/hyperlink" Target="https://en.wikipedia.org/wiki/Shades_of_pink" TargetMode="External"/><Relationship Id="rId242" Type="http://schemas.openxmlformats.org/officeDocument/2006/relationships/hyperlink" Target="https://en.wikipedia.org/wiki/Khaki_(color)" TargetMode="External"/><Relationship Id="rId263" Type="http://schemas.openxmlformats.org/officeDocument/2006/relationships/hyperlink" Target="https://en.wikipedia.org/wiki/Shades_of_green" TargetMode="External"/><Relationship Id="rId284" Type="http://schemas.openxmlformats.org/officeDocument/2006/relationships/hyperlink" Target="https://en.wikipedia.org/wiki/Desert_sand_(color)" TargetMode="External"/><Relationship Id="rId319" Type="http://schemas.openxmlformats.org/officeDocument/2006/relationships/hyperlink" Target="https://en.wikipedia.org/wiki/Shades_of_orange" TargetMode="External"/><Relationship Id="rId37" Type="http://schemas.openxmlformats.org/officeDocument/2006/relationships/hyperlink" Target="https://en.wikipedia.org/wiki/Apricot_(color)" TargetMode="External"/><Relationship Id="rId58" Type="http://schemas.openxmlformats.org/officeDocument/2006/relationships/hyperlink" Target="https://en.wikipedia.org/wiki/Shades_of_pink" TargetMode="External"/><Relationship Id="rId79" Type="http://schemas.openxmlformats.org/officeDocument/2006/relationships/hyperlink" Target="https://en.wikipedia.org/wiki/List_of_Crayola_crayon_colors" TargetMode="External"/><Relationship Id="rId102" Type="http://schemas.openxmlformats.org/officeDocument/2006/relationships/hyperlink" Target="https://en.wikipedia.org/wiki/Air_Force_blue" TargetMode="External"/><Relationship Id="rId123" Type="http://schemas.openxmlformats.org/officeDocument/2006/relationships/hyperlink" Target="https://en.wikipedia.org/wiki/Buff_(colour)" TargetMode="External"/><Relationship Id="rId144" Type="http://schemas.openxmlformats.org/officeDocument/2006/relationships/hyperlink" Target="https://en.wikipedia.org/wiki/Shades_of_pink" TargetMode="External"/><Relationship Id="rId330" Type="http://schemas.openxmlformats.org/officeDocument/2006/relationships/hyperlink" Target="https://en.wikipedia.org/wiki/Shades_of_azure" TargetMode="External"/><Relationship Id="rId90" Type="http://schemas.openxmlformats.org/officeDocument/2006/relationships/hyperlink" Target="https://en.wikipedia.org/wiki/Shades_of_blue" TargetMode="External"/><Relationship Id="rId165" Type="http://schemas.openxmlformats.org/officeDocument/2006/relationships/hyperlink" Target="https://en.wikipedia.org/wiki/Sky_blue" TargetMode="External"/><Relationship Id="rId186" Type="http://schemas.openxmlformats.org/officeDocument/2006/relationships/hyperlink" Target="https://en.wikipedia.org/wiki/Vermilion" TargetMode="External"/><Relationship Id="rId211" Type="http://schemas.openxmlformats.org/officeDocument/2006/relationships/hyperlink" Target="https://en.wikipedia.org/wiki/Coral_(color)" TargetMode="External"/><Relationship Id="rId232" Type="http://schemas.openxmlformats.org/officeDocument/2006/relationships/hyperlink" Target="https://en.wikipedia.org/wiki/Blue-gray" TargetMode="External"/><Relationship Id="rId253" Type="http://schemas.openxmlformats.org/officeDocument/2006/relationships/hyperlink" Target="https://en.wikipedia.org/wiki/Maroon_(color)" TargetMode="External"/><Relationship Id="rId274" Type="http://schemas.openxmlformats.org/officeDocument/2006/relationships/hyperlink" Target="https://en.wikipedia.org/wiki/List_of_Crayola_crayon_colors" TargetMode="External"/><Relationship Id="rId295" Type="http://schemas.openxmlformats.org/officeDocument/2006/relationships/hyperlink" Target="https://en.wikipedia.org/wiki/Lime_(color)" TargetMode="External"/><Relationship Id="rId309" Type="http://schemas.openxmlformats.org/officeDocument/2006/relationships/hyperlink" Target="https://en.wikipedia.org/wiki/Fuchsia_(color)" TargetMode="External"/><Relationship Id="rId27" Type="http://schemas.openxmlformats.org/officeDocument/2006/relationships/hyperlink" Target="https://en.wikipedia.org/wiki/Amber_(color)" TargetMode="External"/><Relationship Id="rId48" Type="http://schemas.openxmlformats.org/officeDocument/2006/relationships/hyperlink" Target="https://en.wikipedia.org/wiki/Aureolin" TargetMode="External"/><Relationship Id="rId69" Type="http://schemas.openxmlformats.org/officeDocument/2006/relationships/hyperlink" Target="https://en.wikipedia.org/wiki/Lemon_(color)" TargetMode="External"/><Relationship Id="rId113" Type="http://schemas.openxmlformats.org/officeDocument/2006/relationships/hyperlink" Target="https://en.wikipedia.org/wiki/Navy_blue" TargetMode="External"/><Relationship Id="rId134" Type="http://schemas.openxmlformats.org/officeDocument/2006/relationships/hyperlink" Target="https://en.wikipedia.org/wiki/Cadet_grey" TargetMode="External"/><Relationship Id="rId320" Type="http://schemas.openxmlformats.org/officeDocument/2006/relationships/hyperlink" Target="https://en.wikipedia.org/wiki/Flame_(color)" TargetMode="External"/><Relationship Id="rId80" Type="http://schemas.openxmlformats.org/officeDocument/2006/relationships/hyperlink" Target="https://en.wikipedia.org/wiki/X11_color_names" TargetMode="External"/><Relationship Id="rId155" Type="http://schemas.openxmlformats.org/officeDocument/2006/relationships/hyperlink" Target="https://en.wikipedia.org/wiki/Carnation_pink" TargetMode="External"/><Relationship Id="rId176" Type="http://schemas.openxmlformats.org/officeDocument/2006/relationships/hyperlink" Target="https://en.wikipedia.org/wiki/Shades_of_gray" TargetMode="External"/><Relationship Id="rId197" Type="http://schemas.openxmlformats.org/officeDocument/2006/relationships/hyperlink" Target="https://en.wikipedia.org/wiki/Lemon_(color)" TargetMode="External"/><Relationship Id="rId341" Type="http://schemas.openxmlformats.org/officeDocument/2006/relationships/hyperlink" Target="https://en.wikipedia.org/wiki/Fuchsia_(color)" TargetMode="External"/><Relationship Id="rId201" Type="http://schemas.openxmlformats.org/officeDocument/2006/relationships/hyperlink" Target="https://en.wikipedia.org/wiki/Coffee_(color)" TargetMode="External"/><Relationship Id="rId222" Type="http://schemas.openxmlformats.org/officeDocument/2006/relationships/hyperlink" Target="https://en.wikipedia.org/wiki/Cream_(colour)" TargetMode="External"/><Relationship Id="rId243" Type="http://schemas.openxmlformats.org/officeDocument/2006/relationships/hyperlink" Target="https://en.wikipedia.org/wiki/Lava_(color)" TargetMode="External"/><Relationship Id="rId264" Type="http://schemas.openxmlformats.org/officeDocument/2006/relationships/hyperlink" Target="https://en.wikipedia.org/wiki/Davy%27s_grey" TargetMode="External"/><Relationship Id="rId285" Type="http://schemas.openxmlformats.org/officeDocument/2006/relationships/hyperlink" Target="https://en.wikipedia.org/wiki/Shades_of_black_(colors)" TargetMode="External"/><Relationship Id="rId17" Type="http://schemas.openxmlformats.org/officeDocument/2006/relationships/hyperlink" Target="https://en.wikipedia.org/wiki/Alice_blue" TargetMode="External"/><Relationship Id="rId38" Type="http://schemas.openxmlformats.org/officeDocument/2006/relationships/hyperlink" Target="https://en.wikipedia.org/wiki/Aqua_(color)" TargetMode="External"/><Relationship Id="rId59" Type="http://schemas.openxmlformats.org/officeDocument/2006/relationships/hyperlink" Target="https://en.wikipedia.org/wiki/Shades_of_red" TargetMode="External"/><Relationship Id="rId103" Type="http://schemas.openxmlformats.org/officeDocument/2006/relationships/hyperlink" Target="https://en.wikipedia.org/wiki/List_of_Crayola_crayon_colors" TargetMode="External"/><Relationship Id="rId124" Type="http://schemas.openxmlformats.org/officeDocument/2006/relationships/hyperlink" Target="https://en.wikipedia.org/wiki/Burgundy_(color)" TargetMode="External"/><Relationship Id="rId310" Type="http://schemas.openxmlformats.org/officeDocument/2006/relationships/hyperlink" Target="https://en.wikipedia.org/wiki/Shades_of_pink" TargetMode="External"/><Relationship Id="rId70" Type="http://schemas.openxmlformats.org/officeDocument/2006/relationships/hyperlink" Target="https://en.wikipedia.org/wiki/Lime_(color)" TargetMode="External"/><Relationship Id="rId91" Type="http://schemas.openxmlformats.org/officeDocument/2006/relationships/hyperlink" Target="https://en.wikipedia.org/wiki/Shades_of_blue" TargetMode="External"/><Relationship Id="rId145" Type="http://schemas.openxmlformats.org/officeDocument/2006/relationships/hyperlink" Target="https://en.wikipedia.org/wiki/History_of_Crayola_crayons" TargetMode="External"/><Relationship Id="rId166" Type="http://schemas.openxmlformats.org/officeDocument/2006/relationships/hyperlink" Target="https://en.wikipedia.org/wiki/Isatis_tinctoria" TargetMode="External"/><Relationship Id="rId187" Type="http://schemas.openxmlformats.org/officeDocument/2006/relationships/hyperlink" Target="https://en.wikipedia.org/wiki/Shades_of_violet" TargetMode="External"/><Relationship Id="rId331" Type="http://schemas.openxmlformats.org/officeDocument/2006/relationships/hyperlink" Target="https://en.wikipedia.org/wiki/Fuchsia_(color)" TargetMode="External"/><Relationship Id="rId1" Type="http://schemas.openxmlformats.org/officeDocument/2006/relationships/hyperlink" Target="https://en.wikipedia.org/wiki/Web_colors" TargetMode="External"/><Relationship Id="rId212" Type="http://schemas.openxmlformats.org/officeDocument/2006/relationships/hyperlink" Target="https://en.wikipedia.org/wiki/Coral_(color)" TargetMode="External"/><Relationship Id="rId233" Type="http://schemas.openxmlformats.org/officeDocument/2006/relationships/hyperlink" Target="https://en.wikipedia.org/wiki/Shades_of_brown" TargetMode="External"/><Relationship Id="rId254" Type="http://schemas.openxmlformats.org/officeDocument/2006/relationships/hyperlink" Target="https://en.wikipedia.org/wiki/Salmon_(color)" TargetMode="External"/><Relationship Id="rId28" Type="http://schemas.openxmlformats.org/officeDocument/2006/relationships/hyperlink" Target="https://en.wikipedia.org/wiki/Amethyst_(color)" TargetMode="External"/><Relationship Id="rId49" Type="http://schemas.openxmlformats.org/officeDocument/2006/relationships/hyperlink" Target="https://en.wikipedia.org/wiki/Chartreuse_(color)" TargetMode="External"/><Relationship Id="rId114" Type="http://schemas.openxmlformats.org/officeDocument/2006/relationships/hyperlink" Target="https://en.wikipedia.org/wiki/List_of_Crayola_crayon_colors" TargetMode="External"/><Relationship Id="rId275" Type="http://schemas.openxmlformats.org/officeDocument/2006/relationships/hyperlink" Target="https://en.wikipedia.org/wiki/List_of_Crayola_crayon_colors" TargetMode="External"/><Relationship Id="rId296" Type="http://schemas.openxmlformats.org/officeDocument/2006/relationships/hyperlink" Target="https://en.wikipedia.org/wiki/Shades_of_purple" TargetMode="External"/><Relationship Id="rId300" Type="http://schemas.openxmlformats.org/officeDocument/2006/relationships/hyperlink" Target="https://en.wikipedia.org/wiki/Shades_of_green" TargetMode="External"/><Relationship Id="rId60" Type="http://schemas.openxmlformats.org/officeDocument/2006/relationships/hyperlink" Target="https://en.wikipedia.org/wiki/Battleship_grey" TargetMode="External"/><Relationship Id="rId81" Type="http://schemas.openxmlformats.org/officeDocument/2006/relationships/hyperlink" Target="https://en.wikipedia.org/wiki/Bronze_(color)" TargetMode="External"/><Relationship Id="rId135" Type="http://schemas.openxmlformats.org/officeDocument/2006/relationships/hyperlink" Target="https://en.wikipedia.org/wiki/Cadet_grey" TargetMode="External"/><Relationship Id="rId156" Type="http://schemas.openxmlformats.org/officeDocument/2006/relationships/hyperlink" Target="https://en.wikipedia.org/wiki/Carnelian_(color)" TargetMode="External"/><Relationship Id="rId177" Type="http://schemas.openxmlformats.org/officeDocument/2006/relationships/hyperlink" Target="https://en.wikipedia.org/wiki/Shades_of_black_(colors)" TargetMode="External"/><Relationship Id="rId198" Type="http://schemas.openxmlformats.org/officeDocument/2006/relationships/hyperlink" Target="https://en.wikipedia.org/wiki/Wine_(color)" TargetMode="External"/><Relationship Id="rId321" Type="http://schemas.openxmlformats.org/officeDocument/2006/relationships/hyperlink" Target="https://en.wikipedia.org/wiki/Flax_(color)" TargetMode="External"/><Relationship Id="rId342" Type="http://schemas.openxmlformats.org/officeDocument/2006/relationships/hyperlink" Target="https://en.wikipedia.org/wiki/Fuchsia_(color)" TargetMode="External"/><Relationship Id="rId202" Type="http://schemas.openxmlformats.org/officeDocument/2006/relationships/hyperlink" Target="https://en.wikipedia.org/wiki/Columbia_Blue" TargetMode="External"/><Relationship Id="rId223" Type="http://schemas.openxmlformats.org/officeDocument/2006/relationships/hyperlink" Target="https://en.wikipedia.org/wiki/Crimson" TargetMode="External"/><Relationship Id="rId244" Type="http://schemas.openxmlformats.org/officeDocument/2006/relationships/hyperlink" Target="https://en.wikipedia.org/wiki/Liver_(color)" TargetMode="External"/><Relationship Id="rId18" Type="http://schemas.openxmlformats.org/officeDocument/2006/relationships/hyperlink" Target="https://en.wikipedia.org/wiki/Shades_of_orange" TargetMode="External"/><Relationship Id="rId39" Type="http://schemas.openxmlformats.org/officeDocument/2006/relationships/hyperlink" Target="https://en.wikipedia.org/wiki/Aquamarine_(color)" TargetMode="External"/><Relationship Id="rId265" Type="http://schemas.openxmlformats.org/officeDocument/2006/relationships/hyperlink" Target="https://en.wikipedia.org/wiki/Cerise_(color)" TargetMode="External"/><Relationship Id="rId286" Type="http://schemas.openxmlformats.org/officeDocument/2006/relationships/hyperlink" Target="https://en.wikipedia.org/wiki/Ecru" TargetMode="External"/><Relationship Id="rId50" Type="http://schemas.openxmlformats.org/officeDocument/2006/relationships/hyperlink" Target="https://en.wikipedia.org/wiki/Azure_(color)" TargetMode="External"/><Relationship Id="rId104" Type="http://schemas.openxmlformats.org/officeDocument/2006/relationships/hyperlink" Target="https://en.wikipedia.org/wiki/Red-violet" TargetMode="External"/><Relationship Id="rId125" Type="http://schemas.openxmlformats.org/officeDocument/2006/relationships/hyperlink" Target="https://en.wikipedia.org/wiki/X11_color_names" TargetMode="External"/><Relationship Id="rId146" Type="http://schemas.openxmlformats.org/officeDocument/2006/relationships/hyperlink" Target="https://en.wikipedia.org/wiki/Shades_of_yellow" TargetMode="External"/><Relationship Id="rId167" Type="http://schemas.openxmlformats.org/officeDocument/2006/relationships/hyperlink" Target="https://en.wikipedia.org/wiki/Cerise_(color)" TargetMode="External"/><Relationship Id="rId188" Type="http://schemas.openxmlformats.org/officeDocument/2006/relationships/hyperlink" Target="https://en.wikipedia.org/wiki/Shades_of_yellow" TargetMode="External"/><Relationship Id="rId311" Type="http://schemas.openxmlformats.org/officeDocument/2006/relationships/hyperlink" Target="https://en.wikipedia.org/wiki/Fuchsia_(color)" TargetMode="External"/><Relationship Id="rId332" Type="http://schemas.openxmlformats.org/officeDocument/2006/relationships/hyperlink" Target="https://en.wikipedia.org/wiki/Lilac_(color)" TargetMode="External"/><Relationship Id="rId71" Type="http://schemas.openxmlformats.org/officeDocument/2006/relationships/hyperlink" Target="https://en.wikipedia.org/wiki/Shades_of_orange" TargetMode="External"/><Relationship Id="rId92" Type="http://schemas.openxmlformats.org/officeDocument/2006/relationships/hyperlink" Target="https://en.wikipedia.org/wiki/RYB_color_model" TargetMode="External"/><Relationship Id="rId213" Type="http://schemas.openxmlformats.org/officeDocument/2006/relationships/hyperlink" Target="https://en.wikipedia.org/wiki/Cordovan_(color)" TargetMode="External"/><Relationship Id="rId234" Type="http://schemas.openxmlformats.org/officeDocument/2006/relationships/hyperlink" Target="https://en.wikipedia.org/wiki/Byzantium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Android_green" TargetMode="External"/><Relationship Id="rId255" Type="http://schemas.openxmlformats.org/officeDocument/2006/relationships/hyperlink" Target="https://en.wikipedia.org/wiki/X11_color_names" TargetMode="External"/><Relationship Id="rId276" Type="http://schemas.openxmlformats.org/officeDocument/2006/relationships/hyperlink" Target="https://en.wikipedia.org/wiki/Desert_sand_(color)" TargetMode="External"/><Relationship Id="rId297" Type="http://schemas.openxmlformats.org/officeDocument/2006/relationships/hyperlink" Target="https://en.wikipedia.org/wiki/Shades_of_violet" TargetMode="External"/><Relationship Id="rId40" Type="http://schemas.openxmlformats.org/officeDocument/2006/relationships/hyperlink" Target="https://en.wikipedia.org/wiki/Lime_(color)" TargetMode="External"/><Relationship Id="rId115" Type="http://schemas.openxmlformats.org/officeDocument/2006/relationships/hyperlink" Target="https://en.wikipedia.org/wiki/Rose_(color)" TargetMode="External"/><Relationship Id="rId136" Type="http://schemas.openxmlformats.org/officeDocument/2006/relationships/hyperlink" Target="https://en.wikipedia.org/wiki/Cadmium_pigments" TargetMode="External"/><Relationship Id="rId157" Type="http://schemas.openxmlformats.org/officeDocument/2006/relationships/hyperlink" Target="https://en.wikipedia.org/wiki/Carolina_blue" TargetMode="External"/><Relationship Id="rId178" Type="http://schemas.openxmlformats.org/officeDocument/2006/relationships/hyperlink" Target="https://en.wikipedia.org/wiki/Shades_of_pink" TargetMode="External"/><Relationship Id="rId301" Type="http://schemas.openxmlformats.org/officeDocument/2006/relationships/hyperlink" Target="https://en.wikipedia.org/wiki/Lavender_(color)" TargetMode="External"/><Relationship Id="rId322" Type="http://schemas.openxmlformats.org/officeDocument/2006/relationships/hyperlink" Target="https://en.wikipedia.org/wiki/Red-violet" TargetMode="External"/><Relationship Id="rId343" Type="http://schemas.openxmlformats.org/officeDocument/2006/relationships/hyperlink" Target="https://en.wikipedia.org/wiki/Fuchsia_(color)" TargetMode="External"/><Relationship Id="rId61" Type="http://schemas.openxmlformats.org/officeDocument/2006/relationships/hyperlink" Target="https://en.wikipedia.org/wiki/Baby_blue" TargetMode="External"/><Relationship Id="rId82" Type="http://schemas.openxmlformats.org/officeDocument/2006/relationships/hyperlink" Target="https://en.wikipedia.org/wiki/Bleu_de_France_(colour)" TargetMode="External"/><Relationship Id="rId199" Type="http://schemas.openxmlformats.org/officeDocument/2006/relationships/hyperlink" Target="https://en.wikipedia.org/wiki/Cobalt_blue" TargetMode="External"/><Relationship Id="rId203" Type="http://schemas.openxmlformats.org/officeDocument/2006/relationships/hyperlink" Target="https://en.wikipedia.org/wiki/Shades_of_pink" TargetMode="External"/><Relationship Id="rId19" Type="http://schemas.openxmlformats.org/officeDocument/2006/relationships/hyperlink" Target="https://en.wikipedia.org/wiki/Almond_(color)" TargetMode="External"/><Relationship Id="rId224" Type="http://schemas.openxmlformats.org/officeDocument/2006/relationships/hyperlink" Target="https://en.wikipedia.org/wiki/Crimson" TargetMode="External"/><Relationship Id="rId245" Type="http://schemas.openxmlformats.org/officeDocument/2006/relationships/hyperlink" Target="https://en.wikipedia.org/wiki/Liver_(color)" TargetMode="External"/><Relationship Id="rId266" Type="http://schemas.openxmlformats.org/officeDocument/2006/relationships/hyperlink" Target="https://en.wikipedia.org/wiki/Champagne_(color)" TargetMode="External"/><Relationship Id="rId287" Type="http://schemas.openxmlformats.org/officeDocument/2006/relationships/hyperlink" Target="https://en.wikipedia.org/wiki/Shades_of_black" TargetMode="External"/><Relationship Id="rId30" Type="http://schemas.openxmlformats.org/officeDocument/2006/relationships/hyperlink" Target="https://en.wikipedia.org/wiki/Antique_brass" TargetMode="External"/><Relationship Id="rId105" Type="http://schemas.openxmlformats.org/officeDocument/2006/relationships/hyperlink" Target="https://en.wikipedia.org/wiki/Bole_(color)" TargetMode="External"/><Relationship Id="rId126" Type="http://schemas.openxmlformats.org/officeDocument/2006/relationships/hyperlink" Target="https://en.wikipedia.org/wiki/List_of_Crayola_crayon_colors" TargetMode="External"/><Relationship Id="rId147" Type="http://schemas.openxmlformats.org/officeDocument/2006/relationships/hyperlink" Target="https://en.wikipedia.org/wiki/Candy_apple_red" TargetMode="External"/><Relationship Id="rId168" Type="http://schemas.openxmlformats.org/officeDocument/2006/relationships/hyperlink" Target="https://en.wikipedia.org/wiki/Cerulean" TargetMode="External"/><Relationship Id="rId312" Type="http://schemas.openxmlformats.org/officeDocument/2006/relationships/hyperlink" Target="https://en.wikipedia.org/wiki/Fawn_(colour)" TargetMode="External"/><Relationship Id="rId333" Type="http://schemas.openxmlformats.org/officeDocument/2006/relationships/hyperlink" Target="https://en.wikipedia.org/wiki/Lime_(color)" TargetMode="External"/><Relationship Id="rId51" Type="http://schemas.openxmlformats.org/officeDocument/2006/relationships/hyperlink" Target="https://en.wikipedia.org/wiki/Shades_of_azure" TargetMode="External"/><Relationship Id="rId72" Type="http://schemas.openxmlformats.org/officeDocument/2006/relationships/hyperlink" Target="https://en.wikipedia.org/wiki/Shades_of_orange" TargetMode="External"/><Relationship Id="rId93" Type="http://schemas.openxmlformats.org/officeDocument/2006/relationships/hyperlink" Target="https://en.wikipedia.org/wiki/List_of_Crayola_crayon_colors" TargetMode="External"/><Relationship Id="rId189" Type="http://schemas.openxmlformats.org/officeDocument/2006/relationships/hyperlink" Target="https://en.wikipedia.org/wiki/Chocolate_(color)" TargetMode="External"/><Relationship Id="rId3" Type="http://schemas.openxmlformats.org/officeDocument/2006/relationships/hyperlink" Target="https://en.wikipedia.org/wiki/RGB" TargetMode="External"/><Relationship Id="rId214" Type="http://schemas.openxmlformats.org/officeDocument/2006/relationships/hyperlink" Target="https://en.wikipedia.org/wiki/Corn_(color)" TargetMode="External"/><Relationship Id="rId235" Type="http://schemas.openxmlformats.org/officeDocument/2006/relationships/hyperlink" Target="https://en.wikipedia.org/wiki/Cornflower_blue" TargetMode="External"/><Relationship Id="rId256" Type="http://schemas.openxmlformats.org/officeDocument/2006/relationships/hyperlink" Target="https://en.wikipedia.org/wiki/Sienna" TargetMode="External"/><Relationship Id="rId277" Type="http://schemas.openxmlformats.org/officeDocument/2006/relationships/hyperlink" Target="https://en.wikipedia.org/wiki/Desert_sand_(color)" TargetMode="External"/><Relationship Id="rId298" Type="http://schemas.openxmlformats.org/officeDocument/2006/relationships/hyperlink" Target="https://en.wikipedia.org/wiki/Shades_of_green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Web_colors" TargetMode="External"/><Relationship Id="rId1" Type="http://schemas.openxmlformats.org/officeDocument/2006/relationships/hyperlink" Target="https://en.wikipedia.org/wiki/Web_colo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3DB6-8F2D-421D-9C79-149CCCA38850}">
  <sheetPr codeName="Sheet1"/>
  <dimension ref="A2:F36"/>
  <sheetViews>
    <sheetView showGridLines="0" zoomScale="115" zoomScaleNormal="115" workbookViewId="0">
      <selection activeCell="C16" sqref="C16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38" t="s">
        <v>964</v>
      </c>
      <c r="C2" s="438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f>8*60</f>
        <v>480</v>
      </c>
    </row>
    <row r="8" spans="2:3" x14ac:dyDescent="0.3">
      <c r="B8" s="381" t="s">
        <v>102</v>
      </c>
      <c r="C8" s="380">
        <v>49000</v>
      </c>
    </row>
    <row r="9" spans="2:3" x14ac:dyDescent="0.3">
      <c r="B9" s="381" t="s">
        <v>103</v>
      </c>
      <c r="C9" s="386">
        <v>44317</v>
      </c>
    </row>
    <row r="10" spans="2:3" x14ac:dyDescent="0.3">
      <c r="B10" s="381" t="s">
        <v>104</v>
      </c>
      <c r="C10" s="386">
        <v>44347</v>
      </c>
    </row>
    <row r="11" spans="2:3" x14ac:dyDescent="0.3">
      <c r="B11" s="381" t="s">
        <v>105</v>
      </c>
      <c r="C11" s="385">
        <f>(_xlfn.DAYS(C10,C9)+1)</f>
        <v>31</v>
      </c>
    </row>
    <row r="12" spans="2:3" x14ac:dyDescent="0.3">
      <c r="B12" s="381" t="s">
        <v>106</v>
      </c>
      <c r="C12" s="385">
        <f>ROUND(C8/C11,0)</f>
        <v>1581</v>
      </c>
    </row>
    <row r="13" spans="2:3" x14ac:dyDescent="0.3">
      <c r="B13" s="381" t="s">
        <v>107</v>
      </c>
      <c r="C13" s="384">
        <f>C7/C12</f>
        <v>0.30360531309297911</v>
      </c>
    </row>
    <row r="14" spans="2:3" x14ac:dyDescent="0.3">
      <c r="B14" s="381" t="s">
        <v>101</v>
      </c>
      <c r="C14" s="380">
        <f>MAX(Line_Details!$F:$F)</f>
        <v>1.819</v>
      </c>
    </row>
    <row r="15" spans="2:3" x14ac:dyDescent="0.3">
      <c r="B15" s="381" t="s">
        <v>108</v>
      </c>
      <c r="C15" s="380">
        <f>ROUND(C7/C14,0)</f>
        <v>264</v>
      </c>
    </row>
    <row r="16" spans="2:3" ht="31.5" x14ac:dyDescent="0.3">
      <c r="B16" s="383" t="s">
        <v>109</v>
      </c>
      <c r="C16" s="382">
        <f>MAX(C13,C14)</f>
        <v>1.819</v>
      </c>
    </row>
    <row r="17" spans="2:3" x14ac:dyDescent="0.3">
      <c r="B17" s="381" t="s">
        <v>111</v>
      </c>
      <c r="C17" s="380">
        <f>ROUNDUP(SUM(Line_Details!$F:$F)/C16,0)</f>
        <v>23</v>
      </c>
    </row>
    <row r="18" spans="2:3" ht="16.5" thickBot="1" x14ac:dyDescent="0.35">
      <c r="B18" s="379" t="s">
        <v>110</v>
      </c>
      <c r="C18" s="378">
        <f>MAX(Line_Details!$B:$B)</f>
        <v>54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B6CD8-5406-4AC8-AE93-D5C3B6E3F88A}">
  <sheetPr codeName="Sheet5"/>
  <dimension ref="A2:F36"/>
  <sheetViews>
    <sheetView workbookViewId="0">
      <selection activeCell="C27" sqref="C27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38" t="s">
        <v>964</v>
      </c>
      <c r="C2" s="438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MAX('hat5'!$F:$F)</f>
        <v>1.67</v>
      </c>
    </row>
    <row r="15" spans="2:3" x14ac:dyDescent="0.3">
      <c r="B15" s="381" t="s">
        <v>108</v>
      </c>
      <c r="C15" s="380">
        <f>ROUND(C7/C14,0)</f>
        <v>275</v>
      </c>
    </row>
    <row r="16" spans="2:3" ht="31.5" x14ac:dyDescent="0.3">
      <c r="B16" s="383" t="s">
        <v>109</v>
      </c>
      <c r="C16" s="382">
        <f>MAX(C13,C14)</f>
        <v>1.67</v>
      </c>
    </row>
    <row r="17" spans="2:3" x14ac:dyDescent="0.3">
      <c r="B17" s="381" t="s">
        <v>111</v>
      </c>
      <c r="C17" s="380">
        <f>ROUNDUP(SUM('hat5'!$F:$F)/C16,0)</f>
        <v>13</v>
      </c>
    </row>
    <row r="18" spans="2:3" ht="16.5" thickBot="1" x14ac:dyDescent="0.35">
      <c r="B18" s="379" t="s">
        <v>110</v>
      </c>
      <c r="C18" s="378">
        <f>MAX('hat5'!$B:$B)</f>
        <v>33</v>
      </c>
    </row>
    <row r="19" spans="2:3" ht="16.5" thickTop="1" x14ac:dyDescent="0.3"/>
    <row r="25" spans="2:3" x14ac:dyDescent="0.3">
      <c r="B25" s="377"/>
    </row>
    <row r="27" spans="2:3" x14ac:dyDescent="0.3">
      <c r="C27" s="376">
        <f xml:space="preserve"> 275/200</f>
        <v>1.375</v>
      </c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6A85-C64A-40AA-B2F7-F9C525310625}">
  <sheetPr codeName="Sheet11"/>
  <dimension ref="A2:F36"/>
  <sheetViews>
    <sheetView workbookViewId="0">
      <selection activeCell="C21" sqref="C21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38" t="s">
        <v>964</v>
      </c>
      <c r="C2" s="438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MAX('hat4'!$F:$F)</f>
        <v>1.1000000000000001</v>
      </c>
    </row>
    <row r="15" spans="2:3" x14ac:dyDescent="0.3">
      <c r="B15" s="381" t="s">
        <v>108</v>
      </c>
      <c r="C15" s="380">
        <f>ROUND(C7/C14,0)</f>
        <v>418</v>
      </c>
    </row>
    <row r="16" spans="2:3" ht="31.5" x14ac:dyDescent="0.3">
      <c r="B16" s="383" t="s">
        <v>109</v>
      </c>
      <c r="C16" s="382">
        <f>MAX(C13,C14)</f>
        <v>1.1000000000000001</v>
      </c>
    </row>
    <row r="17" spans="2:3" x14ac:dyDescent="0.3">
      <c r="B17" s="381" t="s">
        <v>111</v>
      </c>
      <c r="C17" s="380">
        <f>ROUNDUP(SUM('hat4'!$F:$F)/C16,0)</f>
        <v>14</v>
      </c>
    </row>
    <row r="18" spans="2:3" ht="16.5" thickBot="1" x14ac:dyDescent="0.35">
      <c r="B18" s="379" t="s">
        <v>110</v>
      </c>
      <c r="C18" s="378">
        <f>MAX('hat4'!$B:$B)</f>
        <v>32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4039-813F-4782-B04A-55D1BBB9353B}">
  <sheetPr codeName="Sheet12"/>
  <dimension ref="A2:F36"/>
  <sheetViews>
    <sheetView workbookViewId="0">
      <selection activeCell="C25" sqref="C25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38" t="s">
        <v>964</v>
      </c>
      <c r="C2" s="438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MAX('hat3'!$F:$F)</f>
        <v>1.1399999999999999</v>
      </c>
    </row>
    <row r="15" spans="2:3" x14ac:dyDescent="0.3">
      <c r="B15" s="381" t="s">
        <v>108</v>
      </c>
      <c r="C15" s="380">
        <f>ROUND(C7/C14,0)</f>
        <v>404</v>
      </c>
    </row>
    <row r="16" spans="2:3" ht="31.5" x14ac:dyDescent="0.3">
      <c r="B16" s="383" t="s">
        <v>109</v>
      </c>
      <c r="C16" s="382">
        <f>MAX(C13,C14)</f>
        <v>1.1399999999999999</v>
      </c>
    </row>
    <row r="17" spans="2:3" x14ac:dyDescent="0.3">
      <c r="B17" s="381" t="s">
        <v>111</v>
      </c>
      <c r="C17" s="380">
        <f>ROUNDUP(SUM('hat3'!$F:$F)/C16,0)</f>
        <v>13</v>
      </c>
    </row>
    <row r="18" spans="2:3" ht="16.5" thickBot="1" x14ac:dyDescent="0.35">
      <c r="B18" s="379" t="s">
        <v>110</v>
      </c>
      <c r="C18" s="378">
        <f>MAX('hat3'!$B:$B)</f>
        <v>31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BEA8B-730C-4C25-ABD2-0208590ABEB9}">
  <sheetPr codeName="Sheet14"/>
  <dimension ref="A2:F36"/>
  <sheetViews>
    <sheetView workbookViewId="0">
      <selection activeCell="C13" sqref="C13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38" t="s">
        <v>964</v>
      </c>
      <c r="C2" s="438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MAX('hat2'!$F:$F)</f>
        <v>1.1399999999999999</v>
      </c>
    </row>
    <row r="15" spans="2:3" x14ac:dyDescent="0.3">
      <c r="B15" s="381" t="s">
        <v>108</v>
      </c>
      <c r="C15" s="380">
        <f>ROUND(C7/C14,0)</f>
        <v>404</v>
      </c>
    </row>
    <row r="16" spans="2:3" ht="31.5" x14ac:dyDescent="0.3">
      <c r="B16" s="383" t="s">
        <v>109</v>
      </c>
      <c r="C16" s="382">
        <f>MAX(C13,C14)</f>
        <v>1.1399999999999999</v>
      </c>
    </row>
    <row r="17" spans="2:3" x14ac:dyDescent="0.3">
      <c r="B17" s="381" t="s">
        <v>111</v>
      </c>
      <c r="C17" s="380">
        <f>ROUNDUP(SUM('hat2'!$F:$F)/C16,0)</f>
        <v>13</v>
      </c>
    </row>
    <row r="18" spans="2:3" ht="16.5" thickBot="1" x14ac:dyDescent="0.35">
      <c r="B18" s="379" t="s">
        <v>110</v>
      </c>
      <c r="C18" s="378">
        <f>MAX('hat2'!$B:$B)</f>
        <v>31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8C7A2-8174-4E56-B9A1-72CE18BAE316}">
  <sheetPr codeName="Sheet15"/>
  <dimension ref="A2:F36"/>
  <sheetViews>
    <sheetView workbookViewId="0">
      <selection activeCell="C17" sqref="C17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38" t="s">
        <v>964</v>
      </c>
      <c r="C2" s="438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MAX('hat1'!$F:$F)</f>
        <v>0.78</v>
      </c>
    </row>
    <row r="15" spans="2:3" x14ac:dyDescent="0.3">
      <c r="B15" s="381" t="s">
        <v>108</v>
      </c>
      <c r="C15" s="380">
        <f>ROUND(C7/C14,0)</f>
        <v>590</v>
      </c>
    </row>
    <row r="16" spans="2:3" ht="31.5" x14ac:dyDescent="0.3">
      <c r="B16" s="383" t="s">
        <v>109</v>
      </c>
      <c r="C16" s="382">
        <f>MAX(C13,C14)</f>
        <v>0.78</v>
      </c>
    </row>
    <row r="17" spans="2:3" x14ac:dyDescent="0.3">
      <c r="B17" s="381" t="s">
        <v>111</v>
      </c>
      <c r="C17" s="380">
        <f>ROUNDUP(SUM('hat1'!$F:$F)/C16,0)</f>
        <v>19</v>
      </c>
    </row>
    <row r="18" spans="2:3" ht="16.5" thickBot="1" x14ac:dyDescent="0.35">
      <c r="B18" s="379" t="s">
        <v>110</v>
      </c>
      <c r="C18" s="378">
        <f>MAX('hat1'!$B:$B)</f>
        <v>34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7E4B0-991D-498A-9B5E-7931ECA2FB18}">
  <sheetPr codeName="Sheet16"/>
  <dimension ref="A1:J38"/>
  <sheetViews>
    <sheetView zoomScaleNormal="100" workbookViewId="0">
      <selection activeCell="E44" sqref="E44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 x14ac:dyDescent="0.3">
      <c r="B32" s="358">
        <v>28</v>
      </c>
      <c r="C32" s="375" t="s">
        <v>1115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31</v>
      </c>
      <c r="F36" s="393">
        <v>0.55000000000000004</v>
      </c>
      <c r="G36" s="393">
        <v>1</v>
      </c>
    </row>
    <row r="37" spans="2:7" x14ac:dyDescent="0.3">
      <c r="B37" s="393">
        <v>33</v>
      </c>
      <c r="C37" s="394" t="s">
        <v>1119</v>
      </c>
      <c r="D37" s="396" t="s">
        <v>1120</v>
      </c>
      <c r="E37" s="393">
        <v>31</v>
      </c>
      <c r="F37" s="393">
        <v>0.55000000000000004</v>
      </c>
      <c r="G37" s="393">
        <v>1</v>
      </c>
    </row>
    <row r="38" spans="2:7" x14ac:dyDescent="0.3">
      <c r="B38" s="393">
        <v>34</v>
      </c>
      <c r="C38" s="394" t="s">
        <v>986</v>
      </c>
      <c r="D38" s="396" t="s">
        <v>986</v>
      </c>
      <c r="E38" s="393" t="s">
        <v>1125</v>
      </c>
      <c r="F38" s="393">
        <v>0</v>
      </c>
      <c r="G38" s="393">
        <v>1</v>
      </c>
    </row>
  </sheetData>
  <mergeCells count="1">
    <mergeCell ref="B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A37D7-2A9B-4DF4-9D99-D0D9E636F471}">
  <sheetPr codeName="Sheet17"/>
  <dimension ref="A1:J35"/>
  <sheetViews>
    <sheetView topLeftCell="A19" zoomScaleNormal="100" workbookViewId="0">
      <selection activeCell="F29" sqref="F2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2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2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 x14ac:dyDescent="0.3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 x14ac:dyDescent="0.3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 x14ac:dyDescent="0.3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 x14ac:dyDescent="0.3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2</v>
      </c>
    </row>
  </sheetData>
  <mergeCells count="1">
    <mergeCell ref="B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F4371-203B-4BF3-9874-45CC56801DF3}">
  <sheetPr codeName="Sheet18"/>
  <dimension ref="A1:J35"/>
  <sheetViews>
    <sheetView topLeftCell="A4" zoomScaleNormal="100" workbookViewId="0">
      <selection activeCell="I12" sqref="I12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9" x14ac:dyDescent="0.3">
      <c r="B1" s="2"/>
      <c r="C1" s="2"/>
      <c r="D1" s="2"/>
    </row>
    <row r="2" spans="2:9" x14ac:dyDescent="0.3">
      <c r="B2" s="439" t="s">
        <v>965</v>
      </c>
      <c r="C2" s="439"/>
      <c r="D2" s="439"/>
      <c r="E2" s="439"/>
      <c r="F2" s="439"/>
      <c r="G2" s="439"/>
    </row>
    <row r="4" spans="2:9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9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9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9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9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9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9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9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9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  <c r="I12" s="1">
        <f xml:space="preserve"> 460 / 1.1</f>
        <v>418.18181818181813</v>
      </c>
    </row>
    <row r="13" spans="2:9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9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9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9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1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 x14ac:dyDescent="0.3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 x14ac:dyDescent="0.3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 x14ac:dyDescent="0.3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 x14ac:dyDescent="0.3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1</v>
      </c>
    </row>
  </sheetData>
  <mergeCells count="1">
    <mergeCell ref="B2:G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B9F6-7A05-400C-8583-A9C7EEA7A286}">
  <sheetPr codeName="Sheet19"/>
  <dimension ref="A1:J36"/>
  <sheetViews>
    <sheetView zoomScaleNormal="100" workbookViewId="0">
      <selection activeCell="F4" sqref="F4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 x14ac:dyDescent="0.3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31</v>
      </c>
      <c r="F36" s="393">
        <v>1.1000000000000001</v>
      </c>
      <c r="G36" s="393">
        <v>2</v>
      </c>
    </row>
  </sheetData>
  <mergeCells count="1">
    <mergeCell ref="B2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86E8-3EF7-4F37-9CA9-AB27EFCC2B08}">
  <sheetPr codeName="Sheet2"/>
  <dimension ref="A1:J58"/>
  <sheetViews>
    <sheetView showGridLines="0" workbookViewId="0">
      <selection activeCell="I10" sqref="I10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3" spans="2:7" x14ac:dyDescent="0.3">
      <c r="F3" s="7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 x14ac:dyDescent="0.3">
      <c r="B6" s="358">
        <v>2</v>
      </c>
      <c r="C6" s="375" t="s">
        <v>6</v>
      </c>
      <c r="D6" s="375" t="s">
        <v>7</v>
      </c>
      <c r="E6" s="358">
        <v>1</v>
      </c>
      <c r="F6" s="358">
        <v>0.28299999999999997</v>
      </c>
      <c r="G6" s="358">
        <v>1</v>
      </c>
    </row>
    <row r="7" spans="2:7" ht="31.5" x14ac:dyDescent="0.3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 x14ac:dyDescent="0.3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 x14ac:dyDescent="0.3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 x14ac:dyDescent="0.3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 x14ac:dyDescent="0.3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 x14ac:dyDescent="0.3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 x14ac:dyDescent="0.3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 x14ac:dyDescent="0.3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 x14ac:dyDescent="0.3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 x14ac:dyDescent="0.3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 x14ac:dyDescent="0.3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 x14ac:dyDescent="0.3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 x14ac:dyDescent="0.3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 x14ac:dyDescent="0.3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 x14ac:dyDescent="0.3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 x14ac:dyDescent="0.3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 x14ac:dyDescent="0.3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 x14ac:dyDescent="0.3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 x14ac:dyDescent="0.3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 x14ac:dyDescent="0.3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 x14ac:dyDescent="0.3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 x14ac:dyDescent="0.3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 x14ac:dyDescent="0.3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 x14ac:dyDescent="0.3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 x14ac:dyDescent="0.3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 x14ac:dyDescent="0.3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 x14ac:dyDescent="0.3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 x14ac:dyDescent="0.3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 x14ac:dyDescent="0.3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 x14ac:dyDescent="0.3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 x14ac:dyDescent="0.3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 x14ac:dyDescent="0.3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 x14ac:dyDescent="0.3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 x14ac:dyDescent="0.3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 x14ac:dyDescent="0.3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 x14ac:dyDescent="0.3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 x14ac:dyDescent="0.3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 x14ac:dyDescent="0.3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 x14ac:dyDescent="0.3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 x14ac:dyDescent="0.3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 x14ac:dyDescent="0.3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 x14ac:dyDescent="0.3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 x14ac:dyDescent="0.3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 x14ac:dyDescent="0.3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 x14ac:dyDescent="0.3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 x14ac:dyDescent="0.3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 x14ac:dyDescent="0.3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 x14ac:dyDescent="0.3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 x14ac:dyDescent="0.3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 x14ac:dyDescent="0.3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 x14ac:dyDescent="0.3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 x14ac:dyDescent="0.3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4489-6D59-414B-BB9F-491FD13E683E}">
  <sheetPr codeName="Sheet10"/>
  <dimension ref="A2:I155"/>
  <sheetViews>
    <sheetView showGridLines="0" topLeftCell="A103" workbookViewId="0">
      <selection activeCell="G59" sqref="G59"/>
    </sheetView>
  </sheetViews>
  <sheetFormatPr defaultColWidth="0" defaultRowHeight="16.5" x14ac:dyDescent="0.3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2.7109375" customWidth="1"/>
    <col min="9" max="16384" width="9" hidden="1"/>
  </cols>
  <sheetData>
    <row r="2" spans="2:9" x14ac:dyDescent="0.3">
      <c r="B2" s="440" t="s">
        <v>987</v>
      </c>
      <c r="C2" s="440"/>
      <c r="D2" s="440"/>
      <c r="E2" s="440"/>
      <c r="F2" s="440"/>
      <c r="G2" s="440"/>
    </row>
    <row r="4" spans="2:9" x14ac:dyDescent="0.3">
      <c r="B4" s="366" t="s">
        <v>93</v>
      </c>
      <c r="C4" s="367" t="s">
        <v>94</v>
      </c>
      <c r="D4" s="367" t="s">
        <v>3</v>
      </c>
      <c r="E4" s="368" t="s">
        <v>95</v>
      </c>
      <c r="F4" s="368" t="s">
        <v>969</v>
      </c>
      <c r="G4" s="369" t="s">
        <v>970</v>
      </c>
      <c r="H4" s="364"/>
      <c r="I4" s="364"/>
    </row>
    <row r="5" spans="2:9" x14ac:dyDescent="0.3">
      <c r="B5" s="358" t="s">
        <v>974</v>
      </c>
      <c r="C5" s="370" t="s">
        <v>10</v>
      </c>
      <c r="D5" s="370" t="s">
        <v>11</v>
      </c>
      <c r="E5" s="358">
        <v>0.35199999999999998</v>
      </c>
      <c r="F5" s="358" t="s">
        <v>975</v>
      </c>
      <c r="G5" s="358">
        <v>1</v>
      </c>
      <c r="H5" s="364"/>
      <c r="I5" s="364"/>
    </row>
    <row r="6" spans="2:9" x14ac:dyDescent="0.3">
      <c r="B6" s="358" t="s">
        <v>990</v>
      </c>
      <c r="C6" s="370" t="s">
        <v>29</v>
      </c>
      <c r="D6" s="370" t="s">
        <v>9</v>
      </c>
      <c r="E6" s="358">
        <v>0.33100000000000002</v>
      </c>
      <c r="F6" s="358" t="s">
        <v>991</v>
      </c>
      <c r="G6" s="358">
        <v>1</v>
      </c>
      <c r="H6" s="364"/>
      <c r="I6" s="364"/>
    </row>
    <row r="7" spans="2:9" x14ac:dyDescent="0.3">
      <c r="B7" s="358" t="s">
        <v>971</v>
      </c>
      <c r="C7" s="370" t="s">
        <v>4</v>
      </c>
      <c r="D7" s="370" t="s">
        <v>5</v>
      </c>
      <c r="E7" s="358">
        <v>0.315</v>
      </c>
      <c r="F7" s="358" t="s">
        <v>973</v>
      </c>
      <c r="G7" s="358">
        <v>1</v>
      </c>
      <c r="H7" s="364"/>
      <c r="I7" s="364"/>
    </row>
    <row r="8" spans="2:9" x14ac:dyDescent="0.3">
      <c r="B8" s="358" t="s">
        <v>973</v>
      </c>
      <c r="C8" s="370" t="s">
        <v>6</v>
      </c>
      <c r="D8" s="370" t="s">
        <v>7</v>
      </c>
      <c r="E8" s="358">
        <v>0.28299999999999997</v>
      </c>
      <c r="F8" s="358" t="s">
        <v>972</v>
      </c>
      <c r="G8" s="358">
        <v>1</v>
      </c>
      <c r="H8" s="364"/>
      <c r="I8" s="364"/>
    </row>
    <row r="9" spans="2:9" x14ac:dyDescent="0.3">
      <c r="B9" s="358" t="s">
        <v>992</v>
      </c>
      <c r="C9" s="370" t="s">
        <v>27</v>
      </c>
      <c r="D9" s="370" t="s">
        <v>20</v>
      </c>
      <c r="E9" s="358">
        <v>0.216</v>
      </c>
      <c r="F9" s="358" t="s">
        <v>993</v>
      </c>
      <c r="G9" s="358">
        <v>1</v>
      </c>
      <c r="H9" s="364"/>
      <c r="I9" s="364"/>
    </row>
    <row r="10" spans="2:9" x14ac:dyDescent="0.3">
      <c r="B10" s="358" t="s">
        <v>993</v>
      </c>
      <c r="C10" s="370" t="s">
        <v>28</v>
      </c>
      <c r="D10" s="370" t="s">
        <v>5</v>
      </c>
      <c r="E10" s="358">
        <v>0.187</v>
      </c>
      <c r="F10" s="358" t="s">
        <v>990</v>
      </c>
      <c r="G10" s="358">
        <v>1</v>
      </c>
      <c r="H10" s="364"/>
      <c r="I10" s="364"/>
    </row>
    <row r="11" spans="2:9" x14ac:dyDescent="0.3">
      <c r="B11" s="358" t="s">
        <v>994</v>
      </c>
      <c r="C11" s="370" t="s">
        <v>61</v>
      </c>
      <c r="D11" s="370" t="s">
        <v>20</v>
      </c>
      <c r="E11" s="358">
        <v>7.5999999999999998E-2</v>
      </c>
      <c r="F11" s="358" t="s">
        <v>995</v>
      </c>
      <c r="G11" s="358">
        <v>1</v>
      </c>
      <c r="H11" s="364"/>
      <c r="I11" s="364"/>
    </row>
    <row r="12" spans="2:9" x14ac:dyDescent="0.3">
      <c r="B12" s="365"/>
      <c r="C12" s="371" t="s">
        <v>1066</v>
      </c>
      <c r="D12" s="371"/>
      <c r="E12" s="365">
        <v>1.76</v>
      </c>
      <c r="F12" s="365"/>
      <c r="G12" s="365"/>
      <c r="H12" s="364"/>
      <c r="I12" s="364"/>
    </row>
    <row r="13" spans="2:9" x14ac:dyDescent="0.3">
      <c r="B13" s="358" t="s">
        <v>983</v>
      </c>
      <c r="C13" s="370" t="s">
        <v>22</v>
      </c>
      <c r="D13" s="370" t="s">
        <v>20</v>
      </c>
      <c r="E13" s="358">
        <v>1.3560000000000001</v>
      </c>
      <c r="F13" s="358" t="s">
        <v>985</v>
      </c>
      <c r="G13" s="358">
        <v>2</v>
      </c>
      <c r="H13" s="364"/>
      <c r="I13" s="364"/>
    </row>
    <row r="14" spans="2:9" x14ac:dyDescent="0.3">
      <c r="B14" s="365"/>
      <c r="C14" s="371" t="s">
        <v>1065</v>
      </c>
      <c r="D14" s="371"/>
      <c r="E14" s="365">
        <v>1.3560000000000001</v>
      </c>
      <c r="F14" s="365"/>
      <c r="G14" s="365"/>
      <c r="H14" s="364"/>
      <c r="I14" s="364"/>
    </row>
    <row r="15" spans="2:9" x14ac:dyDescent="0.3">
      <c r="B15" s="358" t="s">
        <v>972</v>
      </c>
      <c r="C15" s="370" t="s">
        <v>8</v>
      </c>
      <c r="D15" s="370" t="s">
        <v>9</v>
      </c>
      <c r="E15" s="358">
        <v>0.92900000000000005</v>
      </c>
      <c r="F15" s="358" t="s">
        <v>977</v>
      </c>
      <c r="G15" s="358">
        <v>3</v>
      </c>
      <c r="H15" s="364"/>
      <c r="I15" s="364"/>
    </row>
    <row r="16" spans="2:9" x14ac:dyDescent="0.3">
      <c r="B16" s="358" t="s">
        <v>984</v>
      </c>
      <c r="C16" s="370" t="s">
        <v>23</v>
      </c>
      <c r="D16" s="370" t="s">
        <v>9</v>
      </c>
      <c r="E16" s="358">
        <v>0.53400000000000003</v>
      </c>
      <c r="F16" s="358" t="s">
        <v>985</v>
      </c>
      <c r="G16" s="358">
        <v>3</v>
      </c>
      <c r="H16" s="364"/>
      <c r="I16" s="364"/>
    </row>
    <row r="17" spans="2:9" x14ac:dyDescent="0.3">
      <c r="B17" s="358" t="s">
        <v>975</v>
      </c>
      <c r="C17" s="370" t="s">
        <v>12</v>
      </c>
      <c r="D17" s="370" t="s">
        <v>13</v>
      </c>
      <c r="E17" s="358">
        <v>0.19800000000000001</v>
      </c>
      <c r="F17" s="358" t="s">
        <v>977</v>
      </c>
      <c r="G17" s="358">
        <v>3</v>
      </c>
      <c r="H17" s="364"/>
      <c r="I17" s="364"/>
    </row>
    <row r="18" spans="2:9" x14ac:dyDescent="0.3">
      <c r="B18" s="365"/>
      <c r="C18" s="371" t="s">
        <v>1064</v>
      </c>
      <c r="D18" s="371"/>
      <c r="E18" s="365">
        <v>1.661</v>
      </c>
      <c r="F18" s="365"/>
      <c r="G18" s="365"/>
      <c r="H18" s="364"/>
      <c r="I18" s="364"/>
    </row>
    <row r="19" spans="2:9" x14ac:dyDescent="0.3">
      <c r="B19" s="358" t="s">
        <v>979</v>
      </c>
      <c r="C19" s="370" t="s">
        <v>16</v>
      </c>
      <c r="D19" s="370" t="s">
        <v>9</v>
      </c>
      <c r="E19" s="358">
        <v>0.69099999999999995</v>
      </c>
      <c r="F19" s="358" t="s">
        <v>978</v>
      </c>
      <c r="G19" s="358">
        <v>4</v>
      </c>
      <c r="H19" s="364"/>
      <c r="I19" s="364"/>
    </row>
    <row r="20" spans="2:9" x14ac:dyDescent="0.3">
      <c r="B20" s="358" t="s">
        <v>977</v>
      </c>
      <c r="C20" s="370" t="s">
        <v>15</v>
      </c>
      <c r="D20" s="370" t="s">
        <v>9</v>
      </c>
      <c r="E20" s="358">
        <v>0.57699999999999996</v>
      </c>
      <c r="F20" s="358" t="s">
        <v>979</v>
      </c>
      <c r="G20" s="358">
        <v>4</v>
      </c>
      <c r="H20" s="364"/>
      <c r="I20" s="364"/>
    </row>
    <row r="21" spans="2:9" x14ac:dyDescent="0.3">
      <c r="B21" s="358" t="s">
        <v>985</v>
      </c>
      <c r="C21" s="370" t="s">
        <v>24</v>
      </c>
      <c r="D21" s="370" t="s">
        <v>25</v>
      </c>
      <c r="E21" s="358">
        <v>0.247</v>
      </c>
      <c r="F21" s="358" t="s">
        <v>996</v>
      </c>
      <c r="G21" s="358">
        <v>4</v>
      </c>
      <c r="H21" s="364"/>
      <c r="I21" s="364"/>
    </row>
    <row r="22" spans="2:9" x14ac:dyDescent="0.3">
      <c r="B22" s="358" t="s">
        <v>991</v>
      </c>
      <c r="C22" s="370" t="s">
        <v>30</v>
      </c>
      <c r="D22" s="370" t="s">
        <v>31</v>
      </c>
      <c r="E22" s="358">
        <v>0.24</v>
      </c>
      <c r="F22" s="358" t="s">
        <v>997</v>
      </c>
      <c r="G22" s="358">
        <v>4</v>
      </c>
      <c r="H22" s="364"/>
      <c r="I22" s="364"/>
    </row>
    <row r="23" spans="2:9" x14ac:dyDescent="0.3">
      <c r="B23" s="365"/>
      <c r="C23" s="371" t="s">
        <v>1063</v>
      </c>
      <c r="D23" s="371"/>
      <c r="E23" s="365">
        <v>1.7549999999999997</v>
      </c>
      <c r="F23" s="365"/>
      <c r="G23" s="365"/>
      <c r="H23" s="364"/>
      <c r="I23" s="364"/>
    </row>
    <row r="24" spans="2:9" x14ac:dyDescent="0.3">
      <c r="B24" s="358" t="s">
        <v>996</v>
      </c>
      <c r="C24" s="370" t="s">
        <v>26</v>
      </c>
      <c r="D24" s="370" t="s">
        <v>13</v>
      </c>
      <c r="E24" s="358">
        <v>0.92700000000000005</v>
      </c>
      <c r="F24" s="358" t="s">
        <v>998</v>
      </c>
      <c r="G24" s="358">
        <v>5</v>
      </c>
      <c r="H24" s="364"/>
      <c r="I24" s="364"/>
    </row>
    <row r="25" spans="2:9" x14ac:dyDescent="0.3">
      <c r="B25" s="358" t="s">
        <v>997</v>
      </c>
      <c r="C25" s="370" t="s">
        <v>32</v>
      </c>
      <c r="D25" s="370" t="s">
        <v>9</v>
      </c>
      <c r="E25" s="358">
        <v>0.42099999999999999</v>
      </c>
      <c r="F25" s="358" t="s">
        <v>998</v>
      </c>
      <c r="G25" s="358">
        <v>5</v>
      </c>
      <c r="H25" s="364"/>
      <c r="I25" s="364"/>
    </row>
    <row r="26" spans="2:9" x14ac:dyDescent="0.3">
      <c r="B26" s="358" t="s">
        <v>976</v>
      </c>
      <c r="C26" s="370" t="s">
        <v>14</v>
      </c>
      <c r="D26" s="370" t="s">
        <v>13</v>
      </c>
      <c r="E26" s="358">
        <v>0.33400000000000002</v>
      </c>
      <c r="F26" s="358" t="s">
        <v>978</v>
      </c>
      <c r="G26" s="358">
        <v>5</v>
      </c>
      <c r="H26" s="364"/>
      <c r="I26" s="364"/>
    </row>
    <row r="27" spans="2:9" x14ac:dyDescent="0.3">
      <c r="B27" s="365"/>
      <c r="C27" s="371" t="s">
        <v>1062</v>
      </c>
      <c r="D27" s="371"/>
      <c r="E27" s="365">
        <v>1.6820000000000002</v>
      </c>
      <c r="F27" s="365"/>
      <c r="G27" s="365"/>
      <c r="H27" s="364"/>
      <c r="I27" s="364"/>
    </row>
    <row r="28" spans="2:9" x14ac:dyDescent="0.3">
      <c r="B28" s="358" t="s">
        <v>998</v>
      </c>
      <c r="C28" s="370" t="s">
        <v>33</v>
      </c>
      <c r="D28" s="370" t="s">
        <v>9</v>
      </c>
      <c r="E28" s="358">
        <v>0.73</v>
      </c>
      <c r="F28" s="358" t="s">
        <v>999</v>
      </c>
      <c r="G28" s="358">
        <v>6</v>
      </c>
      <c r="H28" s="364"/>
      <c r="I28" s="364"/>
    </row>
    <row r="29" spans="2:9" x14ac:dyDescent="0.3">
      <c r="B29" s="358" t="s">
        <v>978</v>
      </c>
      <c r="C29" s="370" t="s">
        <v>17</v>
      </c>
      <c r="D29" s="370" t="s">
        <v>9</v>
      </c>
      <c r="E29" s="358">
        <v>0.70099999999999996</v>
      </c>
      <c r="F29" s="358" t="s">
        <v>980</v>
      </c>
      <c r="G29" s="358">
        <v>6</v>
      </c>
      <c r="H29" s="364"/>
      <c r="I29" s="364"/>
    </row>
    <row r="30" spans="2:9" x14ac:dyDescent="0.3">
      <c r="B30" s="365"/>
      <c r="C30" s="371" t="s">
        <v>1061</v>
      </c>
      <c r="D30" s="371"/>
      <c r="E30" s="365">
        <v>1.431</v>
      </c>
      <c r="F30" s="365"/>
      <c r="G30" s="365"/>
      <c r="H30" s="364"/>
      <c r="I30" s="364"/>
    </row>
    <row r="31" spans="2:9" x14ac:dyDescent="0.3">
      <c r="B31" s="358" t="s">
        <v>980</v>
      </c>
      <c r="C31" s="370" t="s">
        <v>18</v>
      </c>
      <c r="D31" s="370" t="s">
        <v>9</v>
      </c>
      <c r="E31" s="358">
        <v>0.69499999999999995</v>
      </c>
      <c r="F31" s="358" t="s">
        <v>981</v>
      </c>
      <c r="G31" s="358">
        <v>7</v>
      </c>
      <c r="H31" s="364"/>
      <c r="I31" s="364"/>
    </row>
    <row r="32" spans="2:9" x14ac:dyDescent="0.3">
      <c r="B32" s="358" t="s">
        <v>999</v>
      </c>
      <c r="C32" s="370" t="s">
        <v>34</v>
      </c>
      <c r="D32" s="370" t="s">
        <v>9</v>
      </c>
      <c r="E32" s="358">
        <v>0.58199999999999996</v>
      </c>
      <c r="F32" s="358" t="s">
        <v>1000</v>
      </c>
      <c r="G32" s="358">
        <v>7</v>
      </c>
      <c r="H32" s="364"/>
      <c r="I32" s="364"/>
    </row>
    <row r="33" spans="2:9" x14ac:dyDescent="0.3">
      <c r="B33" s="358" t="s">
        <v>1001</v>
      </c>
      <c r="C33" s="370" t="s">
        <v>41</v>
      </c>
      <c r="D33" s="370" t="s">
        <v>20</v>
      </c>
      <c r="E33" s="358">
        <v>0.23499999999999999</v>
      </c>
      <c r="F33" s="358" t="s">
        <v>1002</v>
      </c>
      <c r="G33" s="358">
        <v>7</v>
      </c>
      <c r="H33" s="364"/>
      <c r="I33" s="364"/>
    </row>
    <row r="34" spans="2:9" x14ac:dyDescent="0.3">
      <c r="B34" s="365"/>
      <c r="C34" s="371" t="s">
        <v>1060</v>
      </c>
      <c r="D34" s="371"/>
      <c r="E34" s="365">
        <v>1.512</v>
      </c>
      <c r="F34" s="365"/>
      <c r="G34" s="365"/>
      <c r="H34" s="364"/>
      <c r="I34" s="364"/>
    </row>
    <row r="35" spans="2:9" x14ac:dyDescent="0.3">
      <c r="B35" s="358" t="s">
        <v>1002</v>
      </c>
      <c r="C35" s="370" t="s">
        <v>42</v>
      </c>
      <c r="D35" s="370" t="s">
        <v>9</v>
      </c>
      <c r="E35" s="358">
        <v>1.163</v>
      </c>
      <c r="F35" s="358" t="s">
        <v>1003</v>
      </c>
      <c r="G35" s="358">
        <v>8</v>
      </c>
      <c r="H35" s="364"/>
      <c r="I35" s="364"/>
    </row>
    <row r="36" spans="2:9" x14ac:dyDescent="0.3">
      <c r="B36" s="358" t="s">
        <v>981</v>
      </c>
      <c r="C36" s="370" t="s">
        <v>19</v>
      </c>
      <c r="D36" s="370" t="s">
        <v>20</v>
      </c>
      <c r="E36" s="358">
        <v>0.373</v>
      </c>
      <c r="F36" s="358" t="s">
        <v>982</v>
      </c>
      <c r="G36" s="358">
        <v>8</v>
      </c>
      <c r="H36" s="364"/>
      <c r="I36" s="364"/>
    </row>
    <row r="37" spans="2:9" x14ac:dyDescent="0.3">
      <c r="B37" s="358" t="s">
        <v>982</v>
      </c>
      <c r="C37" s="370" t="s">
        <v>21</v>
      </c>
      <c r="D37" s="370" t="s">
        <v>20</v>
      </c>
      <c r="E37" s="358">
        <v>0.214</v>
      </c>
      <c r="F37" s="358" t="s">
        <v>1004</v>
      </c>
      <c r="G37" s="358">
        <v>8</v>
      </c>
      <c r="H37" s="364"/>
      <c r="I37" s="364"/>
    </row>
    <row r="38" spans="2:9" x14ac:dyDescent="0.3">
      <c r="B38" s="365"/>
      <c r="C38" s="371" t="s">
        <v>1059</v>
      </c>
      <c r="D38" s="371"/>
      <c r="E38" s="365">
        <v>1.75</v>
      </c>
      <c r="F38" s="365"/>
      <c r="G38" s="365"/>
      <c r="H38" s="364"/>
      <c r="I38" s="364"/>
    </row>
    <row r="39" spans="2:9" x14ac:dyDescent="0.3">
      <c r="B39" s="358" t="s">
        <v>1003</v>
      </c>
      <c r="C39" s="370" t="s">
        <v>43</v>
      </c>
      <c r="D39" s="370" t="s">
        <v>9</v>
      </c>
      <c r="E39" s="358">
        <v>0.55800000000000005</v>
      </c>
      <c r="F39" s="358" t="s">
        <v>1005</v>
      </c>
      <c r="G39" s="358">
        <v>9</v>
      </c>
      <c r="H39" s="364"/>
      <c r="I39" s="364"/>
    </row>
    <row r="40" spans="2:9" x14ac:dyDescent="0.3">
      <c r="B40" s="358" t="s">
        <v>1006</v>
      </c>
      <c r="C40" s="370" t="s">
        <v>36</v>
      </c>
      <c r="D40" s="370" t="s">
        <v>20</v>
      </c>
      <c r="E40" s="358">
        <v>0.432</v>
      </c>
      <c r="F40" s="358" t="s">
        <v>1004</v>
      </c>
      <c r="G40" s="358">
        <v>9</v>
      </c>
      <c r="H40" s="364"/>
      <c r="I40" s="364"/>
    </row>
    <row r="41" spans="2:9" x14ac:dyDescent="0.3">
      <c r="B41" s="358" t="s">
        <v>1007</v>
      </c>
      <c r="C41" s="370" t="s">
        <v>50</v>
      </c>
      <c r="D41" s="370" t="s">
        <v>20</v>
      </c>
      <c r="E41" s="358">
        <v>0.40300000000000002</v>
      </c>
      <c r="F41" s="358" t="s">
        <v>1008</v>
      </c>
      <c r="G41" s="358">
        <v>9</v>
      </c>
      <c r="H41" s="364"/>
      <c r="I41" s="364"/>
    </row>
    <row r="42" spans="2:9" x14ac:dyDescent="0.3">
      <c r="B42" s="358" t="s">
        <v>1000</v>
      </c>
      <c r="C42" s="370" t="s">
        <v>35</v>
      </c>
      <c r="D42" s="370" t="s">
        <v>20</v>
      </c>
      <c r="E42" s="358">
        <v>0.35899999999999999</v>
      </c>
      <c r="F42" s="358" t="s">
        <v>1006</v>
      </c>
      <c r="G42" s="358">
        <v>9</v>
      </c>
      <c r="H42" s="364"/>
      <c r="I42" s="364"/>
    </row>
    <row r="43" spans="2:9" x14ac:dyDescent="0.3">
      <c r="B43" s="365"/>
      <c r="C43" s="371" t="s">
        <v>1058</v>
      </c>
      <c r="D43" s="371"/>
      <c r="E43" s="365">
        <v>1.752</v>
      </c>
      <c r="F43" s="365"/>
      <c r="G43" s="365"/>
      <c r="H43" s="364"/>
      <c r="I43" s="364"/>
    </row>
    <row r="44" spans="2:9" x14ac:dyDescent="0.3">
      <c r="B44" s="358" t="s">
        <v>1004</v>
      </c>
      <c r="C44" s="370" t="s">
        <v>37</v>
      </c>
      <c r="D44" s="370" t="s">
        <v>13</v>
      </c>
      <c r="E44" s="358">
        <v>1.5309999999999999</v>
      </c>
      <c r="F44" s="358" t="s">
        <v>1009</v>
      </c>
      <c r="G44" s="358">
        <v>10</v>
      </c>
      <c r="H44" s="364"/>
      <c r="I44" s="364"/>
    </row>
    <row r="45" spans="2:9" x14ac:dyDescent="0.3">
      <c r="B45" s="358" t="s">
        <v>1005</v>
      </c>
      <c r="C45" s="370" t="s">
        <v>44</v>
      </c>
      <c r="D45" s="370" t="s">
        <v>45</v>
      </c>
      <c r="E45" s="358">
        <v>0.23799999999999999</v>
      </c>
      <c r="F45" s="358" t="s">
        <v>1010</v>
      </c>
      <c r="G45" s="358">
        <v>10</v>
      </c>
      <c r="H45" s="364"/>
      <c r="I45" s="364"/>
    </row>
    <row r="46" spans="2:9" x14ac:dyDescent="0.3">
      <c r="B46" s="365"/>
      <c r="C46" s="371" t="s">
        <v>1057</v>
      </c>
      <c r="D46" s="371"/>
      <c r="E46" s="365">
        <v>1.7689999999999999</v>
      </c>
      <c r="F46" s="365"/>
      <c r="G46" s="365"/>
      <c r="H46" s="364"/>
      <c r="I46" s="364"/>
    </row>
    <row r="47" spans="2:9" x14ac:dyDescent="0.3">
      <c r="B47" s="358" t="s">
        <v>1010</v>
      </c>
      <c r="C47" s="370" t="s">
        <v>46</v>
      </c>
      <c r="D47" s="370" t="s">
        <v>9</v>
      </c>
      <c r="E47" s="358">
        <v>1.27</v>
      </c>
      <c r="F47" s="358" t="s">
        <v>1011</v>
      </c>
      <c r="G47" s="358">
        <v>11</v>
      </c>
      <c r="H47" s="364"/>
      <c r="I47" s="364"/>
    </row>
    <row r="48" spans="2:9" x14ac:dyDescent="0.3">
      <c r="B48" s="358" t="s">
        <v>1012</v>
      </c>
      <c r="C48" s="370" t="s">
        <v>52</v>
      </c>
      <c r="D48" s="370" t="s">
        <v>9</v>
      </c>
      <c r="E48" s="358">
        <v>0.221</v>
      </c>
      <c r="F48" s="358" t="s">
        <v>1013</v>
      </c>
      <c r="G48" s="358">
        <v>11</v>
      </c>
      <c r="H48" s="364"/>
      <c r="I48" s="364"/>
    </row>
    <row r="49" spans="2:9" x14ac:dyDescent="0.3">
      <c r="B49" s="358" t="s">
        <v>1008</v>
      </c>
      <c r="C49" s="370" t="s">
        <v>51</v>
      </c>
      <c r="D49" s="370" t="s">
        <v>5</v>
      </c>
      <c r="E49" s="358">
        <v>0.20200000000000001</v>
      </c>
      <c r="F49" s="358" t="s">
        <v>1012</v>
      </c>
      <c r="G49" s="358">
        <v>11</v>
      </c>
      <c r="H49" s="364"/>
      <c r="I49" s="364"/>
    </row>
    <row r="50" spans="2:9" x14ac:dyDescent="0.3">
      <c r="B50" s="365"/>
      <c r="C50" s="371" t="s">
        <v>1056</v>
      </c>
      <c r="D50" s="371"/>
      <c r="E50" s="365">
        <v>1.6930000000000001</v>
      </c>
      <c r="F50" s="365"/>
      <c r="G50" s="365"/>
      <c r="H50" s="364"/>
      <c r="I50" s="364"/>
    </row>
    <row r="51" spans="2:9" x14ac:dyDescent="0.3">
      <c r="B51" s="358" t="s">
        <v>1009</v>
      </c>
      <c r="C51" s="370" t="s">
        <v>38</v>
      </c>
      <c r="D51" s="370" t="s">
        <v>39</v>
      </c>
      <c r="E51" s="358">
        <v>1.091</v>
      </c>
      <c r="F51" s="358" t="s">
        <v>1014</v>
      </c>
      <c r="G51" s="358">
        <v>12</v>
      </c>
      <c r="H51" s="364"/>
      <c r="I51" s="364"/>
    </row>
    <row r="52" spans="2:9" x14ac:dyDescent="0.3">
      <c r="B52" s="358" t="s">
        <v>1014</v>
      </c>
      <c r="C52" s="370" t="s">
        <v>40</v>
      </c>
      <c r="D52" s="370" t="s">
        <v>20</v>
      </c>
      <c r="E52" s="358">
        <v>0.36199999999999999</v>
      </c>
      <c r="F52" s="358" t="s">
        <v>1015</v>
      </c>
      <c r="G52" s="358">
        <v>12</v>
      </c>
      <c r="H52" s="364"/>
      <c r="I52" s="364"/>
    </row>
    <row r="53" spans="2:9" x14ac:dyDescent="0.3">
      <c r="B53" s="365"/>
      <c r="C53" s="371" t="s">
        <v>1055</v>
      </c>
      <c r="D53" s="371"/>
      <c r="E53" s="365">
        <v>1.4529999999999998</v>
      </c>
      <c r="F53" s="365"/>
      <c r="G53" s="365"/>
      <c r="H53" s="364"/>
      <c r="I53" s="364"/>
    </row>
    <row r="54" spans="2:9" x14ac:dyDescent="0.3">
      <c r="B54" s="358" t="s">
        <v>1011</v>
      </c>
      <c r="C54" s="370" t="s">
        <v>47</v>
      </c>
      <c r="D54" s="370" t="s">
        <v>48</v>
      </c>
      <c r="E54" s="358">
        <v>1.6519999999999999</v>
      </c>
      <c r="F54" s="358" t="s">
        <v>1015</v>
      </c>
      <c r="G54" s="358">
        <v>13</v>
      </c>
      <c r="H54" s="364"/>
      <c r="I54" s="364"/>
    </row>
    <row r="55" spans="2:9" x14ac:dyDescent="0.3">
      <c r="B55" s="365"/>
      <c r="C55" s="371" t="s">
        <v>1054</v>
      </c>
      <c r="D55" s="371"/>
      <c r="E55" s="365">
        <v>1.6519999999999999</v>
      </c>
      <c r="F55" s="365"/>
      <c r="G55" s="365"/>
      <c r="H55" s="364"/>
      <c r="I55" s="364"/>
    </row>
    <row r="56" spans="2:9" x14ac:dyDescent="0.3">
      <c r="B56" s="358" t="s">
        <v>1015</v>
      </c>
      <c r="C56" s="370" t="s">
        <v>49</v>
      </c>
      <c r="D56" s="370" t="s">
        <v>9</v>
      </c>
      <c r="E56" s="358">
        <v>1.2509999999999999</v>
      </c>
      <c r="F56" s="358" t="s">
        <v>1016</v>
      </c>
      <c r="G56" s="358">
        <v>14</v>
      </c>
      <c r="H56" s="364"/>
      <c r="I56" s="364"/>
    </row>
    <row r="57" spans="2:9" x14ac:dyDescent="0.3">
      <c r="B57" s="358" t="s">
        <v>1013</v>
      </c>
      <c r="C57" s="370" t="s">
        <v>53</v>
      </c>
      <c r="D57" s="370" t="s">
        <v>31</v>
      </c>
      <c r="E57" s="358">
        <v>0.34899999999999998</v>
      </c>
      <c r="F57" s="358" t="s">
        <v>1017</v>
      </c>
      <c r="G57" s="358">
        <v>14</v>
      </c>
      <c r="H57" s="364"/>
      <c r="I57" s="364"/>
    </row>
    <row r="58" spans="2:9" x14ac:dyDescent="0.3">
      <c r="B58" s="365"/>
      <c r="C58" s="371" t="s">
        <v>1053</v>
      </c>
      <c r="D58" s="371"/>
      <c r="E58" s="365">
        <v>1.5999999999999999</v>
      </c>
      <c r="F58" s="365"/>
      <c r="G58" s="365"/>
      <c r="H58" s="364"/>
      <c r="I58" s="364"/>
    </row>
    <row r="59" spans="2:9" x14ac:dyDescent="0.3">
      <c r="B59" s="358" t="s">
        <v>1017</v>
      </c>
      <c r="C59" s="370" t="s">
        <v>54</v>
      </c>
      <c r="D59" s="370" t="s">
        <v>9</v>
      </c>
      <c r="E59" s="358">
        <v>0.39200000000000002</v>
      </c>
      <c r="F59" s="358" t="s">
        <v>1016</v>
      </c>
      <c r="G59" s="358">
        <v>15</v>
      </c>
      <c r="H59" s="364"/>
      <c r="I59" s="364"/>
    </row>
    <row r="60" spans="2:9" x14ac:dyDescent="0.3">
      <c r="B60" s="365"/>
      <c r="C60" s="371" t="s">
        <v>1052</v>
      </c>
      <c r="D60" s="371"/>
      <c r="E60" s="365">
        <v>0.39200000000000002</v>
      </c>
      <c r="F60" s="365"/>
      <c r="G60" s="365"/>
      <c r="H60" s="364"/>
      <c r="I60" s="364"/>
    </row>
    <row r="61" spans="2:9" x14ac:dyDescent="0.3">
      <c r="B61" s="358" t="s">
        <v>1016</v>
      </c>
      <c r="C61" s="370" t="s">
        <v>55</v>
      </c>
      <c r="D61" s="370" t="s">
        <v>9</v>
      </c>
      <c r="E61" s="358">
        <v>1.7210000000000001</v>
      </c>
      <c r="F61" s="358" t="s">
        <v>1018</v>
      </c>
      <c r="G61" s="358">
        <v>16</v>
      </c>
      <c r="H61" s="364"/>
      <c r="I61" s="364"/>
    </row>
    <row r="62" spans="2:9" x14ac:dyDescent="0.3">
      <c r="B62" s="365"/>
      <c r="C62" s="371" t="s">
        <v>1051</v>
      </c>
      <c r="D62" s="371"/>
      <c r="E62" s="365">
        <v>1.7210000000000001</v>
      </c>
      <c r="F62" s="365"/>
      <c r="G62" s="365"/>
      <c r="H62" s="364"/>
      <c r="I62" s="364"/>
    </row>
    <row r="63" spans="2:9" x14ac:dyDescent="0.3">
      <c r="B63" s="358" t="s">
        <v>995</v>
      </c>
      <c r="C63" s="370" t="s">
        <v>62</v>
      </c>
      <c r="D63" s="370" t="s">
        <v>9</v>
      </c>
      <c r="E63" s="358">
        <v>0.26</v>
      </c>
      <c r="F63" s="358" t="s">
        <v>1019</v>
      </c>
      <c r="G63" s="358">
        <v>17</v>
      </c>
      <c r="H63" s="364"/>
      <c r="I63" s="364"/>
    </row>
    <row r="64" spans="2:9" x14ac:dyDescent="0.3">
      <c r="B64" s="358" t="s">
        <v>1020</v>
      </c>
      <c r="C64" s="370" t="s">
        <v>64</v>
      </c>
      <c r="D64" s="370" t="s">
        <v>9</v>
      </c>
      <c r="E64" s="358">
        <v>0.23300000000000001</v>
      </c>
      <c r="F64" s="358" t="s">
        <v>1021</v>
      </c>
      <c r="G64" s="358">
        <v>17</v>
      </c>
      <c r="H64" s="364"/>
      <c r="I64" s="364"/>
    </row>
    <row r="65" spans="2:9" x14ac:dyDescent="0.3">
      <c r="B65" s="358" t="s">
        <v>1019</v>
      </c>
      <c r="C65" s="370" t="s">
        <v>63</v>
      </c>
      <c r="D65" s="370" t="s">
        <v>31</v>
      </c>
      <c r="E65" s="358">
        <v>0.151</v>
      </c>
      <c r="F65" s="358" t="s">
        <v>1020</v>
      </c>
      <c r="G65" s="358">
        <v>17</v>
      </c>
      <c r="H65" s="364"/>
      <c r="I65" s="364"/>
    </row>
    <row r="66" spans="2:9" x14ac:dyDescent="0.3">
      <c r="B66" s="358" t="s">
        <v>1021</v>
      </c>
      <c r="C66" s="370" t="s">
        <v>65</v>
      </c>
      <c r="D66" s="370" t="s">
        <v>5</v>
      </c>
      <c r="E66" s="358">
        <v>9.5000000000000001E-2</v>
      </c>
      <c r="F66" s="358" t="s">
        <v>1022</v>
      </c>
      <c r="G66" s="358">
        <v>17</v>
      </c>
      <c r="H66" s="364"/>
      <c r="I66" s="364"/>
    </row>
    <row r="67" spans="2:9" x14ac:dyDescent="0.3">
      <c r="B67" s="365"/>
      <c r="C67" s="371" t="s">
        <v>1050</v>
      </c>
      <c r="D67" s="371"/>
      <c r="E67" s="365">
        <v>0.73899999999999999</v>
      </c>
      <c r="F67" s="365"/>
      <c r="G67" s="365"/>
      <c r="H67" s="364"/>
      <c r="I67" s="364"/>
    </row>
    <row r="68" spans="2:9" x14ac:dyDescent="0.3">
      <c r="B68" s="358" t="s">
        <v>1018</v>
      </c>
      <c r="C68" s="370" t="s">
        <v>56</v>
      </c>
      <c r="D68" s="370" t="s">
        <v>57</v>
      </c>
      <c r="E68" s="358">
        <v>1.56</v>
      </c>
      <c r="F68" s="358" t="s">
        <v>1023</v>
      </c>
      <c r="G68" s="358">
        <v>18</v>
      </c>
      <c r="H68" s="364"/>
      <c r="I68" s="364"/>
    </row>
    <row r="69" spans="2:9" x14ac:dyDescent="0.3">
      <c r="B69" s="365"/>
      <c r="C69" s="371" t="s">
        <v>1049</v>
      </c>
      <c r="D69" s="371"/>
      <c r="E69" s="365">
        <v>1.56</v>
      </c>
      <c r="F69" s="365"/>
      <c r="G69" s="365"/>
      <c r="H69" s="364"/>
      <c r="I69" s="364"/>
    </row>
    <row r="70" spans="2:9" x14ac:dyDescent="0.3">
      <c r="B70" s="358" t="s">
        <v>1023</v>
      </c>
      <c r="C70" s="370" t="s">
        <v>58</v>
      </c>
      <c r="D70" s="370" t="s">
        <v>13</v>
      </c>
      <c r="E70" s="358">
        <v>0.65800000000000003</v>
      </c>
      <c r="F70" s="358" t="s">
        <v>1024</v>
      </c>
      <c r="G70" s="358">
        <v>19</v>
      </c>
      <c r="H70" s="364"/>
      <c r="I70" s="364"/>
    </row>
    <row r="71" spans="2:9" x14ac:dyDescent="0.3">
      <c r="B71" s="358" t="s">
        <v>1024</v>
      </c>
      <c r="C71" s="370" t="s">
        <v>59</v>
      </c>
      <c r="D71" s="370" t="s">
        <v>60</v>
      </c>
      <c r="E71" s="358">
        <v>0.57599999999999996</v>
      </c>
      <c r="F71" s="358" t="s">
        <v>1022</v>
      </c>
      <c r="G71" s="358">
        <v>19</v>
      </c>
      <c r="H71" s="364"/>
      <c r="I71" s="364"/>
    </row>
    <row r="72" spans="2:9" x14ac:dyDescent="0.3">
      <c r="B72" s="358" t="s">
        <v>1025</v>
      </c>
      <c r="C72" s="370" t="s">
        <v>66</v>
      </c>
      <c r="D72" s="370" t="s">
        <v>67</v>
      </c>
      <c r="E72" s="358">
        <v>0.14899999999999999</v>
      </c>
      <c r="F72" s="358" t="s">
        <v>1022</v>
      </c>
      <c r="G72" s="358">
        <v>19</v>
      </c>
      <c r="H72" s="364"/>
      <c r="I72" s="364"/>
    </row>
    <row r="73" spans="2:9" x14ac:dyDescent="0.3">
      <c r="B73" s="365"/>
      <c r="C73" s="371" t="s">
        <v>1048</v>
      </c>
      <c r="D73" s="371"/>
      <c r="E73" s="365">
        <v>1.383</v>
      </c>
      <c r="F73" s="365"/>
      <c r="G73" s="365"/>
      <c r="H73" s="364"/>
      <c r="I73" s="364"/>
    </row>
    <row r="74" spans="2:9" ht="31.5" x14ac:dyDescent="0.3">
      <c r="B74" s="358" t="s">
        <v>1022</v>
      </c>
      <c r="C74" s="370" t="s">
        <v>68</v>
      </c>
      <c r="D74" s="370" t="s">
        <v>9</v>
      </c>
      <c r="E74" s="358">
        <v>1.819</v>
      </c>
      <c r="F74" s="358" t="s">
        <v>1026</v>
      </c>
      <c r="G74" s="358">
        <v>20</v>
      </c>
      <c r="H74" s="364"/>
      <c r="I74" s="364"/>
    </row>
    <row r="75" spans="2:9" x14ac:dyDescent="0.3">
      <c r="B75" s="365"/>
      <c r="C75" s="371" t="s">
        <v>1047</v>
      </c>
      <c r="D75" s="371"/>
      <c r="E75" s="365">
        <v>1.819</v>
      </c>
      <c r="F75" s="365"/>
      <c r="G75" s="365"/>
      <c r="H75" s="364"/>
      <c r="I75" s="364"/>
    </row>
    <row r="76" spans="2:9" x14ac:dyDescent="0.3">
      <c r="B76" s="358" t="s">
        <v>1026</v>
      </c>
      <c r="C76" s="370" t="s">
        <v>69</v>
      </c>
      <c r="D76" s="370" t="s">
        <v>9</v>
      </c>
      <c r="E76" s="358">
        <v>1.129</v>
      </c>
      <c r="F76" s="358" t="s">
        <v>1027</v>
      </c>
      <c r="G76" s="358">
        <v>21</v>
      </c>
      <c r="H76" s="364"/>
      <c r="I76" s="364"/>
    </row>
    <row r="77" spans="2:9" x14ac:dyDescent="0.3">
      <c r="B77" s="365"/>
      <c r="C77" s="371" t="s">
        <v>1046</v>
      </c>
      <c r="D77" s="371"/>
      <c r="E77" s="365">
        <v>1.129</v>
      </c>
      <c r="F77" s="365"/>
      <c r="G77" s="365"/>
      <c r="H77" s="364"/>
      <c r="I77" s="364"/>
    </row>
    <row r="78" spans="2:9" x14ac:dyDescent="0.3">
      <c r="B78" s="358" t="s">
        <v>1027</v>
      </c>
      <c r="C78" s="370" t="s">
        <v>70</v>
      </c>
      <c r="D78" s="370" t="s">
        <v>9</v>
      </c>
      <c r="E78" s="358">
        <v>1.474</v>
      </c>
      <c r="F78" s="358" t="s">
        <v>1028</v>
      </c>
      <c r="G78" s="358">
        <v>22</v>
      </c>
      <c r="H78" s="364"/>
      <c r="I78" s="364"/>
    </row>
    <row r="79" spans="2:9" x14ac:dyDescent="0.3">
      <c r="B79" s="365"/>
      <c r="C79" s="371" t="s">
        <v>1045</v>
      </c>
      <c r="D79" s="371"/>
      <c r="E79" s="365">
        <v>1.474</v>
      </c>
      <c r="F79" s="365"/>
      <c r="G79" s="365"/>
      <c r="H79" s="364"/>
      <c r="I79" s="364"/>
    </row>
    <row r="80" spans="2:9" x14ac:dyDescent="0.3">
      <c r="B80" s="358" t="s">
        <v>1028</v>
      </c>
      <c r="C80" s="370" t="s">
        <v>71</v>
      </c>
      <c r="D80" s="370" t="s">
        <v>9</v>
      </c>
      <c r="E80" s="358">
        <v>1.6850000000000001</v>
      </c>
      <c r="F80" s="358" t="s">
        <v>1029</v>
      </c>
      <c r="G80" s="358">
        <v>23</v>
      </c>
      <c r="H80" s="364"/>
      <c r="I80" s="364"/>
    </row>
    <row r="81" spans="2:9" x14ac:dyDescent="0.3">
      <c r="B81" s="365"/>
      <c r="C81" s="371" t="s">
        <v>1044</v>
      </c>
      <c r="D81" s="371"/>
      <c r="E81" s="365">
        <v>1.6850000000000001</v>
      </c>
      <c r="F81" s="365"/>
      <c r="G81" s="365"/>
      <c r="H81" s="364"/>
      <c r="I81" s="364"/>
    </row>
    <row r="82" spans="2:9" x14ac:dyDescent="0.3">
      <c r="B82" s="358" t="s">
        <v>1030</v>
      </c>
      <c r="C82" s="370" t="s">
        <v>74</v>
      </c>
      <c r="D82" s="370" t="s">
        <v>39</v>
      </c>
      <c r="E82" s="358">
        <v>0.67100000000000004</v>
      </c>
      <c r="F82" s="358" t="s">
        <v>1031</v>
      </c>
      <c r="G82" s="358">
        <v>24</v>
      </c>
      <c r="H82" s="364"/>
      <c r="I82" s="364"/>
    </row>
    <row r="83" spans="2:9" s="364" customFormat="1" x14ac:dyDescent="0.3">
      <c r="B83" s="358" t="s">
        <v>1029</v>
      </c>
      <c r="C83" s="370" t="s">
        <v>72</v>
      </c>
      <c r="D83" s="370" t="s">
        <v>13</v>
      </c>
      <c r="E83" s="358">
        <v>0.54800000000000004</v>
      </c>
      <c r="F83" s="358" t="s">
        <v>1032</v>
      </c>
      <c r="G83" s="358">
        <v>24</v>
      </c>
    </row>
    <row r="84" spans="2:9" s="364" customFormat="1" x14ac:dyDescent="0.3">
      <c r="B84" s="358" t="s">
        <v>1032</v>
      </c>
      <c r="C84" s="370" t="s">
        <v>73</v>
      </c>
      <c r="D84" s="370" t="s">
        <v>20</v>
      </c>
      <c r="E84" s="358">
        <v>0.35499999999999998</v>
      </c>
      <c r="F84" s="358" t="s">
        <v>1030</v>
      </c>
      <c r="G84" s="358">
        <v>24</v>
      </c>
    </row>
    <row r="85" spans="2:9" s="364" customFormat="1" x14ac:dyDescent="0.3">
      <c r="B85" s="358" t="s">
        <v>1033</v>
      </c>
      <c r="C85" s="370" t="s">
        <v>75</v>
      </c>
      <c r="D85" s="370" t="s">
        <v>20</v>
      </c>
      <c r="E85" s="358">
        <v>0.14199999999999999</v>
      </c>
      <c r="F85" s="358" t="s">
        <v>1031</v>
      </c>
      <c r="G85" s="358">
        <v>24</v>
      </c>
    </row>
    <row r="86" spans="2:9" s="364" customFormat="1" x14ac:dyDescent="0.3">
      <c r="B86" s="365"/>
      <c r="C86" s="371" t="s">
        <v>1043</v>
      </c>
      <c r="D86" s="371"/>
      <c r="E86" s="365">
        <v>1.716</v>
      </c>
      <c r="F86" s="365"/>
      <c r="G86" s="365"/>
    </row>
    <row r="87" spans="2:9" s="364" customFormat="1" x14ac:dyDescent="0.3">
      <c r="B87" s="358" t="s">
        <v>1031</v>
      </c>
      <c r="C87" s="370" t="s">
        <v>76</v>
      </c>
      <c r="D87" s="370" t="s">
        <v>9</v>
      </c>
      <c r="E87" s="358">
        <v>1.252</v>
      </c>
      <c r="F87" s="358" t="s">
        <v>1034</v>
      </c>
      <c r="G87" s="358">
        <v>25</v>
      </c>
    </row>
    <row r="88" spans="2:9" s="364" customFormat="1" x14ac:dyDescent="0.3">
      <c r="B88" s="358" t="s">
        <v>1034</v>
      </c>
      <c r="C88" s="370" t="s">
        <v>77</v>
      </c>
      <c r="D88" s="370" t="s">
        <v>5</v>
      </c>
      <c r="E88" s="358">
        <v>0.52300000000000002</v>
      </c>
      <c r="F88" s="358" t="s">
        <v>1035</v>
      </c>
      <c r="G88" s="358">
        <v>25</v>
      </c>
    </row>
    <row r="89" spans="2:9" s="364" customFormat="1" x14ac:dyDescent="0.3">
      <c r="B89" s="358" t="s">
        <v>1034</v>
      </c>
      <c r="C89" s="370" t="s">
        <v>77</v>
      </c>
      <c r="D89" s="370" t="s">
        <v>5</v>
      </c>
      <c r="E89" s="358">
        <v>0</v>
      </c>
      <c r="F89" s="358" t="s">
        <v>1036</v>
      </c>
      <c r="G89" s="358">
        <v>25</v>
      </c>
    </row>
    <row r="90" spans="2:9" s="364" customFormat="1" x14ac:dyDescent="0.3">
      <c r="B90" s="365"/>
      <c r="C90" s="371" t="s">
        <v>1042</v>
      </c>
      <c r="D90" s="371"/>
      <c r="E90" s="365">
        <v>1.7749999999999999</v>
      </c>
      <c r="F90" s="365"/>
      <c r="G90" s="365"/>
    </row>
    <row r="91" spans="2:9" s="364" customFormat="1" x14ac:dyDescent="0.3">
      <c r="B91" s="358" t="s">
        <v>1037</v>
      </c>
      <c r="C91" s="370" t="s">
        <v>80</v>
      </c>
      <c r="D91" s="370" t="s">
        <v>20</v>
      </c>
      <c r="E91" s="358">
        <v>0.88400000000000001</v>
      </c>
      <c r="F91" s="358" t="s">
        <v>1038</v>
      </c>
      <c r="G91" s="358">
        <v>26</v>
      </c>
    </row>
    <row r="92" spans="2:9" s="364" customFormat="1" x14ac:dyDescent="0.3">
      <c r="B92" s="358" t="s">
        <v>1036</v>
      </c>
      <c r="C92" s="370" t="s">
        <v>79</v>
      </c>
      <c r="D92" s="370" t="s">
        <v>9</v>
      </c>
      <c r="E92" s="358">
        <v>0.68799999999999994</v>
      </c>
      <c r="F92" s="358" t="s">
        <v>1037</v>
      </c>
      <c r="G92" s="358">
        <v>26</v>
      </c>
    </row>
    <row r="93" spans="2:9" s="364" customFormat="1" x14ac:dyDescent="0.3">
      <c r="B93" s="358" t="s">
        <v>1035</v>
      </c>
      <c r="C93" s="370" t="s">
        <v>78</v>
      </c>
      <c r="D93" s="370" t="s">
        <v>9</v>
      </c>
      <c r="E93" s="358">
        <v>0.16400000000000001</v>
      </c>
      <c r="F93" s="358" t="s">
        <v>1036</v>
      </c>
      <c r="G93" s="358">
        <v>26</v>
      </c>
    </row>
    <row r="94" spans="2:9" s="364" customFormat="1" x14ac:dyDescent="0.3">
      <c r="B94" s="365"/>
      <c r="C94" s="371" t="s">
        <v>1041</v>
      </c>
      <c r="D94" s="371"/>
      <c r="E94" s="365">
        <v>1.736</v>
      </c>
      <c r="F94" s="365"/>
      <c r="G94" s="365"/>
    </row>
    <row r="95" spans="2:9" s="364" customFormat="1" x14ac:dyDescent="0.3">
      <c r="B95" s="358" t="s">
        <v>1038</v>
      </c>
      <c r="C95" s="370" t="s">
        <v>81</v>
      </c>
      <c r="D95" s="370" t="s">
        <v>9</v>
      </c>
      <c r="E95" s="358">
        <v>0.91300000000000003</v>
      </c>
      <c r="F95" s="358" t="s">
        <v>1039</v>
      </c>
      <c r="G95" s="358">
        <v>27</v>
      </c>
    </row>
    <row r="96" spans="2:9" s="364" customFormat="1" x14ac:dyDescent="0.3">
      <c r="B96" s="358" t="s">
        <v>1039</v>
      </c>
      <c r="C96" s="370" t="s">
        <v>82</v>
      </c>
      <c r="D96" s="370" t="s">
        <v>57</v>
      </c>
      <c r="E96" s="358">
        <v>0.89500000000000002</v>
      </c>
      <c r="F96" s="358" t="s">
        <v>986</v>
      </c>
      <c r="G96" s="358">
        <v>27</v>
      </c>
    </row>
    <row r="97" spans="2:9" s="364" customFormat="1" x14ac:dyDescent="0.3">
      <c r="B97" s="372"/>
      <c r="C97" s="373" t="s">
        <v>1040</v>
      </c>
      <c r="D97" s="373"/>
      <c r="E97" s="372">
        <v>1.8080000000000001</v>
      </c>
      <c r="F97" s="372"/>
      <c r="G97" s="372"/>
    </row>
    <row r="98" spans="2:9" x14ac:dyDescent="0.3">
      <c r="B98" s="359"/>
      <c r="C98" s="360"/>
      <c r="D98" s="360"/>
      <c r="E98" s="363"/>
      <c r="F98" s="359"/>
      <c r="G98" s="359"/>
      <c r="H98" s="364"/>
      <c r="I98" s="364"/>
    </row>
    <row r="99" spans="2:9" x14ac:dyDescent="0.3">
      <c r="B99" s="359"/>
      <c r="C99" s="360"/>
      <c r="D99" s="360"/>
      <c r="E99" s="359"/>
      <c r="F99" s="359"/>
      <c r="G99" s="359"/>
      <c r="H99" s="364"/>
      <c r="I99" s="364"/>
    </row>
    <row r="100" spans="2:9" x14ac:dyDescent="0.3">
      <c r="B100" s="359"/>
      <c r="C100" s="360"/>
      <c r="D100" s="360"/>
      <c r="E100" s="359"/>
      <c r="F100" s="359"/>
      <c r="G100" s="359"/>
      <c r="H100" s="364"/>
      <c r="I100" s="364"/>
    </row>
    <row r="101" spans="2:9" x14ac:dyDescent="0.3">
      <c r="B101" s="359"/>
      <c r="C101" s="360"/>
      <c r="D101" s="360"/>
      <c r="E101" s="359"/>
      <c r="F101" s="359"/>
      <c r="G101" s="359"/>
      <c r="H101" s="364"/>
      <c r="I101" s="364"/>
    </row>
    <row r="102" spans="2:9" x14ac:dyDescent="0.3">
      <c r="B102" s="359"/>
      <c r="C102" s="360"/>
      <c r="D102" s="360"/>
      <c r="E102" s="359"/>
      <c r="F102" s="359"/>
      <c r="G102" s="359"/>
      <c r="H102" s="364"/>
      <c r="I102" s="364"/>
    </row>
    <row r="103" spans="2:9" x14ac:dyDescent="0.3">
      <c r="B103" s="359"/>
      <c r="C103" s="360"/>
      <c r="D103" s="360"/>
      <c r="E103" s="359"/>
      <c r="F103" s="359"/>
      <c r="G103" s="359"/>
      <c r="H103" s="364"/>
      <c r="I103" s="364"/>
    </row>
    <row r="104" spans="2:9" x14ac:dyDescent="0.3">
      <c r="B104" s="359"/>
      <c r="C104" s="360"/>
      <c r="D104" s="360"/>
      <c r="E104" s="359"/>
      <c r="F104" s="359"/>
      <c r="G104" s="359"/>
      <c r="H104" s="364"/>
      <c r="I104" s="364"/>
    </row>
    <row r="105" spans="2:9" x14ac:dyDescent="0.3">
      <c r="B105" s="359"/>
      <c r="C105" s="360"/>
      <c r="D105" s="360"/>
      <c r="E105" s="359"/>
      <c r="F105" s="359"/>
      <c r="G105" s="359"/>
      <c r="H105" s="364"/>
      <c r="I105" s="364"/>
    </row>
    <row r="106" spans="2:9" s="364" customFormat="1" x14ac:dyDescent="0.3">
      <c r="B106" s="359"/>
      <c r="C106" s="360"/>
      <c r="D106" s="360"/>
      <c r="E106" s="359"/>
      <c r="F106" s="359"/>
      <c r="G106" s="359"/>
    </row>
    <row r="107" spans="2:9" s="364" customFormat="1" x14ac:dyDescent="0.3">
      <c r="B107" s="359"/>
      <c r="C107" s="360"/>
      <c r="D107" s="360"/>
      <c r="E107" s="359"/>
      <c r="F107" s="359"/>
      <c r="G107" s="359"/>
    </row>
    <row r="108" spans="2:9" s="364" customFormat="1" x14ac:dyDescent="0.3">
      <c r="B108" s="359"/>
      <c r="C108" s="360"/>
      <c r="D108" s="360"/>
      <c r="E108" s="359"/>
      <c r="F108" s="359"/>
      <c r="G108" s="359"/>
    </row>
    <row r="109" spans="2:9" x14ac:dyDescent="0.3">
      <c r="B109" s="359"/>
      <c r="C109" s="360"/>
      <c r="D109" s="360"/>
      <c r="E109" s="359"/>
      <c r="F109" s="359"/>
      <c r="G109" s="359"/>
      <c r="H109" s="364"/>
      <c r="I109" s="364"/>
    </row>
    <row r="110" spans="2:9" x14ac:dyDescent="0.3">
      <c r="B110" s="359"/>
      <c r="C110" s="360"/>
      <c r="D110" s="360"/>
      <c r="E110" s="359"/>
      <c r="F110" s="359"/>
      <c r="G110" s="359"/>
      <c r="H110" s="364"/>
      <c r="I110" s="364"/>
    </row>
    <row r="111" spans="2:9" x14ac:dyDescent="0.3">
      <c r="B111" s="359"/>
      <c r="C111" s="360"/>
      <c r="D111" s="360"/>
      <c r="E111" s="359"/>
      <c r="F111" s="359"/>
      <c r="G111" s="359"/>
      <c r="H111" s="364"/>
      <c r="I111" s="364"/>
    </row>
    <row r="112" spans="2:9" x14ac:dyDescent="0.3">
      <c r="B112" s="359"/>
      <c r="C112" s="360"/>
      <c r="D112" s="360"/>
      <c r="E112" s="359"/>
      <c r="F112" s="359"/>
      <c r="G112" s="359"/>
      <c r="H112" s="364"/>
      <c r="I112" s="364"/>
    </row>
    <row r="113" spans="2:9" x14ac:dyDescent="0.3">
      <c r="B113" s="359"/>
      <c r="C113" s="360"/>
      <c r="D113" s="360"/>
      <c r="E113" s="359"/>
      <c r="F113" s="359"/>
      <c r="G113" s="359"/>
      <c r="H113" s="364"/>
      <c r="I113" s="364"/>
    </row>
    <row r="114" spans="2:9" x14ac:dyDescent="0.3">
      <c r="B114" s="359"/>
      <c r="C114" s="360"/>
      <c r="D114" s="360"/>
      <c r="E114" s="359"/>
      <c r="F114" s="359"/>
      <c r="G114" s="359"/>
      <c r="H114" s="364"/>
      <c r="I114" s="364"/>
    </row>
    <row r="115" spans="2:9" s="364" customFormat="1" x14ac:dyDescent="0.3">
      <c r="B115" s="359"/>
      <c r="C115" s="360"/>
      <c r="D115" s="360"/>
      <c r="E115" s="359"/>
      <c r="F115" s="359"/>
      <c r="G115" s="359"/>
    </row>
    <row r="116" spans="2:9" s="364" customFormat="1" x14ac:dyDescent="0.3">
      <c r="B116" s="359"/>
      <c r="C116" s="360"/>
      <c r="D116" s="360"/>
      <c r="E116" s="359"/>
      <c r="F116" s="359"/>
      <c r="G116" s="359"/>
    </row>
    <row r="117" spans="2:9" x14ac:dyDescent="0.3">
      <c r="B117" s="359"/>
      <c r="C117" s="360"/>
      <c r="D117" s="360"/>
      <c r="E117" s="359"/>
      <c r="F117" s="359"/>
      <c r="G117" s="359"/>
      <c r="H117" s="364"/>
      <c r="I117" s="364"/>
    </row>
    <row r="118" spans="2:9" x14ac:dyDescent="0.3">
      <c r="B118" s="359"/>
      <c r="C118" s="360"/>
      <c r="D118" s="360"/>
      <c r="E118" s="359"/>
      <c r="F118" s="359"/>
      <c r="G118" s="359"/>
      <c r="H118" s="364"/>
      <c r="I118" s="364"/>
    </row>
    <row r="119" spans="2:9" x14ac:dyDescent="0.3">
      <c r="B119" s="359"/>
      <c r="C119" s="360"/>
      <c r="D119" s="360"/>
      <c r="E119" s="359"/>
      <c r="F119" s="359"/>
      <c r="G119" s="359"/>
      <c r="H119" s="364"/>
      <c r="I119" s="364"/>
    </row>
    <row r="120" spans="2:9" x14ac:dyDescent="0.3">
      <c r="B120" s="359"/>
      <c r="C120" s="360"/>
      <c r="D120" s="360"/>
      <c r="E120" s="359"/>
      <c r="F120" s="359"/>
      <c r="G120" s="359"/>
      <c r="H120" s="364"/>
      <c r="I120" s="364"/>
    </row>
    <row r="121" spans="2:9" x14ac:dyDescent="0.3">
      <c r="B121" s="359"/>
      <c r="C121" s="360"/>
      <c r="D121" s="360"/>
      <c r="E121" s="359"/>
      <c r="F121" s="359"/>
      <c r="G121" s="359"/>
      <c r="H121" s="364"/>
      <c r="I121" s="364"/>
    </row>
    <row r="122" spans="2:9" x14ac:dyDescent="0.3">
      <c r="B122" s="359"/>
      <c r="C122" s="360"/>
      <c r="D122" s="360"/>
      <c r="E122" s="359"/>
      <c r="F122" s="359"/>
      <c r="G122" s="359"/>
      <c r="H122" s="364"/>
      <c r="I122" s="364"/>
    </row>
    <row r="123" spans="2:9" x14ac:dyDescent="0.3">
      <c r="B123" s="359"/>
      <c r="C123" s="360"/>
      <c r="D123" s="360"/>
      <c r="E123" s="359"/>
      <c r="F123" s="359"/>
      <c r="G123" s="359"/>
      <c r="H123" s="364"/>
      <c r="I123" s="364"/>
    </row>
    <row r="124" spans="2:9" x14ac:dyDescent="0.3">
      <c r="B124" s="359"/>
      <c r="C124" s="360"/>
      <c r="D124" s="360"/>
      <c r="E124" s="359"/>
      <c r="F124" s="359"/>
      <c r="G124" s="359"/>
      <c r="H124" s="364"/>
      <c r="I124" s="364"/>
    </row>
    <row r="125" spans="2:9" x14ac:dyDescent="0.3">
      <c r="B125" s="359"/>
      <c r="C125" s="360"/>
      <c r="D125" s="360"/>
      <c r="E125" s="359"/>
      <c r="F125" s="359"/>
      <c r="G125" s="359"/>
      <c r="H125" s="364"/>
      <c r="I125" s="364"/>
    </row>
    <row r="126" spans="2:9" x14ac:dyDescent="0.3">
      <c r="B126" s="359"/>
      <c r="C126" s="360"/>
      <c r="D126" s="360"/>
      <c r="E126" s="359"/>
      <c r="F126" s="359"/>
      <c r="G126" s="359"/>
      <c r="H126" s="364"/>
      <c r="I126" s="364"/>
    </row>
    <row r="127" spans="2:9" s="364" customFormat="1" x14ac:dyDescent="0.3">
      <c r="B127" s="359"/>
      <c r="C127" s="360"/>
      <c r="D127" s="360"/>
      <c r="E127" s="359"/>
      <c r="F127" s="359"/>
      <c r="G127" s="359"/>
    </row>
    <row r="128" spans="2:9" s="364" customFormat="1" x14ac:dyDescent="0.3">
      <c r="B128" s="359"/>
      <c r="C128" s="360"/>
      <c r="D128" s="360"/>
      <c r="E128" s="359"/>
      <c r="F128" s="359"/>
      <c r="G128" s="359"/>
    </row>
    <row r="129" spans="2:9" x14ac:dyDescent="0.3">
      <c r="B129" s="359"/>
      <c r="C129" s="360"/>
      <c r="D129" s="360"/>
      <c r="E129" s="359"/>
      <c r="F129" s="359"/>
      <c r="G129" s="359"/>
      <c r="H129" s="364"/>
      <c r="I129" s="364"/>
    </row>
    <row r="130" spans="2:9" x14ac:dyDescent="0.3">
      <c r="B130" s="359"/>
      <c r="C130" s="360"/>
      <c r="D130" s="360"/>
      <c r="E130" s="359"/>
      <c r="F130" s="359"/>
      <c r="G130" s="359"/>
      <c r="H130" s="364"/>
      <c r="I130" s="364"/>
    </row>
    <row r="131" spans="2:9" x14ac:dyDescent="0.3">
      <c r="B131" s="359"/>
      <c r="C131" s="360"/>
      <c r="D131" s="360"/>
      <c r="E131" s="359"/>
      <c r="F131" s="359"/>
      <c r="G131" s="359"/>
      <c r="H131" s="364"/>
      <c r="I131" s="364"/>
    </row>
    <row r="132" spans="2:9" s="364" customFormat="1" x14ac:dyDescent="0.3">
      <c r="B132" s="359"/>
      <c r="C132" s="360"/>
      <c r="D132" s="360"/>
      <c r="E132" s="359"/>
      <c r="F132" s="359"/>
      <c r="G132" s="359"/>
    </row>
    <row r="133" spans="2:9" s="364" customFormat="1" x14ac:dyDescent="0.3">
      <c r="B133" s="359"/>
      <c r="C133" s="360"/>
      <c r="D133" s="360"/>
      <c r="E133" s="359"/>
      <c r="F133" s="359"/>
      <c r="G133" s="359"/>
    </row>
    <row r="134" spans="2:9" x14ac:dyDescent="0.3">
      <c r="B134" s="359"/>
      <c r="C134" s="360"/>
      <c r="D134" s="360"/>
      <c r="E134" s="359"/>
      <c r="F134" s="359"/>
      <c r="G134" s="359"/>
    </row>
    <row r="135" spans="2:9" x14ac:dyDescent="0.3">
      <c r="B135" s="359"/>
      <c r="C135" s="360"/>
      <c r="D135" s="360"/>
      <c r="E135" s="359"/>
      <c r="F135" s="359"/>
      <c r="G135" s="359"/>
    </row>
    <row r="136" spans="2:9" s="364" customFormat="1" x14ac:dyDescent="0.3">
      <c r="B136" s="361"/>
      <c r="C136" s="362"/>
      <c r="D136" s="362"/>
      <c r="E136" s="361"/>
      <c r="F136" s="361"/>
      <c r="G136" s="361"/>
    </row>
    <row r="137" spans="2:9" s="364" customFormat="1" x14ac:dyDescent="0.3">
      <c r="B137" s="361"/>
      <c r="C137" s="362"/>
      <c r="D137" s="362"/>
      <c r="E137" s="361"/>
      <c r="F137" s="361"/>
      <c r="G137" s="361"/>
    </row>
    <row r="138" spans="2:9" s="364" customFormat="1" x14ac:dyDescent="0.3">
      <c r="B138"/>
      <c r="C138"/>
      <c r="D138"/>
      <c r="E138"/>
      <c r="F138"/>
      <c r="G138"/>
    </row>
    <row r="139" spans="2:9" s="364" customFormat="1" x14ac:dyDescent="0.3">
      <c r="B139"/>
      <c r="C139"/>
      <c r="D139"/>
      <c r="E139"/>
      <c r="F139"/>
      <c r="G139"/>
    </row>
    <row r="140" spans="2:9" s="364" customFormat="1" x14ac:dyDescent="0.3">
      <c r="B140"/>
      <c r="C140"/>
      <c r="D140"/>
      <c r="E140"/>
      <c r="F140"/>
      <c r="G140"/>
    </row>
    <row r="141" spans="2:9" s="364" customFormat="1" x14ac:dyDescent="0.3">
      <c r="B141"/>
      <c r="C141"/>
      <c r="D141"/>
      <c r="E141"/>
      <c r="F141"/>
      <c r="G141"/>
    </row>
    <row r="142" spans="2:9" s="364" customFormat="1" x14ac:dyDescent="0.3">
      <c r="B142"/>
      <c r="C142"/>
      <c r="D142"/>
      <c r="E142"/>
      <c r="F142"/>
      <c r="G142"/>
    </row>
    <row r="143" spans="2:9" s="364" customFormat="1" x14ac:dyDescent="0.3">
      <c r="B143"/>
      <c r="C143"/>
      <c r="D143"/>
      <c r="E143"/>
      <c r="F143"/>
      <c r="G143"/>
    </row>
    <row r="144" spans="2:9" s="364" customFormat="1" x14ac:dyDescent="0.3">
      <c r="B144"/>
      <c r="C144"/>
      <c r="D144"/>
      <c r="E144"/>
      <c r="F144"/>
      <c r="G144"/>
    </row>
    <row r="146" spans="2:7" s="364" customFormat="1" x14ac:dyDescent="0.3">
      <c r="B146"/>
      <c r="C146"/>
      <c r="D146"/>
      <c r="E146"/>
      <c r="F146"/>
      <c r="G146"/>
    </row>
    <row r="148" spans="2:7" s="364" customFormat="1" x14ac:dyDescent="0.3">
      <c r="B148"/>
      <c r="C148"/>
      <c r="D148"/>
      <c r="E148"/>
      <c r="F148"/>
      <c r="G148"/>
    </row>
    <row r="151" spans="2:7" s="364" customFormat="1" x14ac:dyDescent="0.3">
      <c r="B151"/>
      <c r="C151"/>
      <c r="D151"/>
      <c r="E151"/>
      <c r="F151"/>
      <c r="G151"/>
    </row>
    <row r="153" spans="2:7" s="364" customFormat="1" x14ac:dyDescent="0.3">
      <c r="B153"/>
      <c r="C153"/>
      <c r="D153"/>
      <c r="E153"/>
      <c r="F153"/>
      <c r="G153"/>
    </row>
    <row r="155" spans="2:7" s="364" customFormat="1" x14ac:dyDescent="0.3">
      <c r="B155"/>
      <c r="C155"/>
      <c r="D155"/>
      <c r="E155"/>
      <c r="F155"/>
      <c r="G155"/>
    </row>
  </sheetData>
  <mergeCells count="1">
    <mergeCell ref="B2:G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5782-39A9-4E77-BB3E-A7DE67D542F0}">
  <sheetPr codeName="Sheet8"/>
  <dimension ref="A1:S35"/>
  <sheetViews>
    <sheetView showGridLines="0" topLeftCell="A1048576" workbookViewId="0"/>
  </sheetViews>
  <sheetFormatPr defaultColWidth="0" defaultRowHeight="16.5" zeroHeight="1" x14ac:dyDescent="0.3"/>
  <cols>
    <col min="1" max="1" width="2.7109375" customWidth="1"/>
    <col min="2" max="18" width="9" customWidth="1"/>
    <col min="19" max="19" width="2.7109375" customWidth="1"/>
    <col min="20" max="16384" width="9" hidden="1"/>
  </cols>
  <sheetData>
    <row r="1" spans="2:18" x14ac:dyDescent="0.3"/>
    <row r="2" spans="2:18" x14ac:dyDescent="0.3">
      <c r="B2" s="440" t="s">
        <v>968</v>
      </c>
      <c r="C2" s="440"/>
      <c r="D2" s="440"/>
      <c r="E2" s="440"/>
      <c r="F2" s="440"/>
      <c r="G2" s="440"/>
      <c r="H2" s="440"/>
      <c r="I2" s="440"/>
      <c r="J2" s="440"/>
      <c r="K2" s="440"/>
      <c r="L2" s="440"/>
      <c r="M2" s="440"/>
      <c r="N2" s="440"/>
      <c r="O2" s="440"/>
      <c r="P2" s="440"/>
      <c r="Q2" s="440"/>
      <c r="R2" s="440"/>
    </row>
    <row r="3" spans="2:18" x14ac:dyDescent="0.3"/>
    <row r="4" spans="2:18" x14ac:dyDescent="0.3"/>
    <row r="5" spans="2:18" x14ac:dyDescent="0.3"/>
    <row r="6" spans="2:18" x14ac:dyDescent="0.3">
      <c r="G6">
        <v>1</v>
      </c>
    </row>
    <row r="7" spans="2:18" x14ac:dyDescent="0.3"/>
    <row r="8" spans="2:18" x14ac:dyDescent="0.3"/>
    <row r="9" spans="2:18" x14ac:dyDescent="0.3"/>
    <row r="10" spans="2:18" x14ac:dyDescent="0.3"/>
    <row r="11" spans="2:18" x14ac:dyDescent="0.3"/>
    <row r="12" spans="2:18" x14ac:dyDescent="0.3"/>
    <row r="13" spans="2:18" x14ac:dyDescent="0.3"/>
    <row r="14" spans="2:18" x14ac:dyDescent="0.3"/>
    <row r="15" spans="2:18" x14ac:dyDescent="0.3"/>
    <row r="16" spans="2:18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hidden="1" x14ac:dyDescent="0.3"/>
    <row r="35" customFormat="1" hidden="1" x14ac:dyDescent="0.3"/>
  </sheetData>
  <mergeCells count="1">
    <mergeCell ref="B2:R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078C-31B4-4491-BCA7-8AC4AD5C1D96}">
  <sheetPr codeName="Sheet9"/>
  <dimension ref="A2:E11"/>
  <sheetViews>
    <sheetView workbookViewId="0">
      <selection activeCell="C7" sqref="C7"/>
    </sheetView>
  </sheetViews>
  <sheetFormatPr defaultColWidth="0" defaultRowHeight="16.5" x14ac:dyDescent="0.3"/>
  <cols>
    <col min="1" max="1" width="2.7109375" customWidth="1"/>
    <col min="2" max="3" width="45.7109375" customWidth="1"/>
    <col min="4" max="4" width="2.7109375" customWidth="1"/>
    <col min="5" max="5" width="0" hidden="1" customWidth="1"/>
    <col min="6" max="16384" width="9" hidden="1"/>
  </cols>
  <sheetData>
    <row r="2" spans="2:3" x14ac:dyDescent="0.3">
      <c r="B2" s="441" t="s">
        <v>966</v>
      </c>
      <c r="C2" s="441"/>
    </row>
    <row r="3" spans="2:3" ht="17.25" thickBot="1" x14ac:dyDescent="0.35">
      <c r="B3" s="1"/>
      <c r="C3" s="1"/>
    </row>
    <row r="4" spans="2:3" ht="18" thickTop="1" thickBot="1" x14ac:dyDescent="0.35">
      <c r="B4" s="355" t="s">
        <v>99</v>
      </c>
      <c r="C4" s="351" t="s">
        <v>967</v>
      </c>
    </row>
    <row r="5" spans="2:3" ht="17.25" thickTop="1" x14ac:dyDescent="0.3">
      <c r="B5" s="356" t="s">
        <v>962</v>
      </c>
      <c r="C5" s="357" t="str">
        <f>Input_Data!C5</f>
        <v>Trouser - Style 002</v>
      </c>
    </row>
    <row r="6" spans="2:3" x14ac:dyDescent="0.3">
      <c r="B6" s="356" t="s">
        <v>963</v>
      </c>
      <c r="C6" s="357" t="str">
        <f>Input_Data!C6</f>
        <v>NYTL</v>
      </c>
    </row>
    <row r="7" spans="2:3" x14ac:dyDescent="0.3">
      <c r="B7" s="356" t="s">
        <v>100</v>
      </c>
      <c r="C7" s="352">
        <f>8*60</f>
        <v>480</v>
      </c>
    </row>
    <row r="8" spans="2:3" x14ac:dyDescent="0.3">
      <c r="B8" s="356"/>
      <c r="C8" s="352"/>
    </row>
    <row r="9" spans="2:3" x14ac:dyDescent="0.3">
      <c r="B9" s="356"/>
      <c r="C9" s="353"/>
    </row>
    <row r="10" spans="2:3" x14ac:dyDescent="0.3">
      <c r="B10" s="356"/>
      <c r="C10" s="353"/>
    </row>
    <row r="11" spans="2:3" x14ac:dyDescent="0.3">
      <c r="B11" s="356"/>
      <c r="C11" s="354"/>
    </row>
  </sheetData>
  <mergeCells count="1">
    <mergeCell ref="B2:C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AB890-8E09-467C-BCC5-DA222B1F2A90}">
  <sheetPr codeName="Sheet23"/>
  <dimension ref="B1:XEU30"/>
  <sheetViews>
    <sheetView topLeftCell="A18" zoomScaleNormal="100" workbookViewId="0">
      <selection activeCell="E37" sqref="E37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57.5703125" style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16.5" x14ac:dyDescent="0.3">
      <c r="B5" s="429">
        <v>1</v>
      </c>
      <c r="C5" s="425" t="s">
        <v>1170</v>
      </c>
      <c r="D5" s="428" t="s">
        <v>1169</v>
      </c>
      <c r="E5" s="431">
        <v>0</v>
      </c>
      <c r="F5" s="393">
        <v>0.48</v>
      </c>
      <c r="G5" s="434">
        <v>1</v>
      </c>
    </row>
    <row r="6" spans="2:7" ht="38.25" x14ac:dyDescent="0.3">
      <c r="B6" s="429">
        <v>2</v>
      </c>
      <c r="C6" s="425" t="s">
        <v>1200</v>
      </c>
      <c r="D6" s="428" t="s">
        <v>1086</v>
      </c>
      <c r="E6" s="431">
        <v>1</v>
      </c>
      <c r="F6" s="393">
        <v>0.91</v>
      </c>
      <c r="G6" s="434">
        <v>1</v>
      </c>
    </row>
    <row r="7" spans="2:7" ht="16.5" x14ac:dyDescent="0.3">
      <c r="B7" s="430">
        <v>3</v>
      </c>
      <c r="C7" s="400" t="s">
        <v>1085</v>
      </c>
      <c r="D7" s="403" t="s">
        <v>1086</v>
      </c>
      <c r="E7" s="432">
        <v>2</v>
      </c>
      <c r="F7" s="358">
        <v>0.48</v>
      </c>
      <c r="G7" s="435">
        <v>1</v>
      </c>
    </row>
    <row r="8" spans="2:7" ht="16.5" x14ac:dyDescent="0.3">
      <c r="B8" s="430">
        <v>4</v>
      </c>
      <c r="C8" s="400" t="s">
        <v>1166</v>
      </c>
      <c r="D8" s="403" t="s">
        <v>1086</v>
      </c>
      <c r="E8" s="432">
        <v>17</v>
      </c>
      <c r="F8" s="393">
        <v>1.38</v>
      </c>
      <c r="G8" s="435">
        <v>1</v>
      </c>
    </row>
    <row r="9" spans="2:7" ht="38.25" x14ac:dyDescent="0.3">
      <c r="B9" s="430">
        <v>5</v>
      </c>
      <c r="C9" s="400" t="s">
        <v>1203</v>
      </c>
      <c r="D9" s="403" t="s">
        <v>1120</v>
      </c>
      <c r="E9" s="432">
        <v>3</v>
      </c>
      <c r="F9" s="358">
        <v>1.37</v>
      </c>
      <c r="G9" s="435">
        <v>1</v>
      </c>
    </row>
    <row r="10" spans="2:7" ht="16.5" x14ac:dyDescent="0.3">
      <c r="B10" s="430">
        <v>6</v>
      </c>
      <c r="C10" s="400" t="s">
        <v>1204</v>
      </c>
      <c r="D10" s="403" t="s">
        <v>1142</v>
      </c>
      <c r="E10" s="432" t="s">
        <v>1212</v>
      </c>
      <c r="F10" s="358">
        <v>1.33</v>
      </c>
      <c r="G10" s="435">
        <v>1</v>
      </c>
    </row>
    <row r="11" spans="2:7" ht="38.25" x14ac:dyDescent="0.3">
      <c r="B11" s="430">
        <v>7</v>
      </c>
      <c r="C11" s="400" t="s">
        <v>1205</v>
      </c>
      <c r="D11" s="403" t="s">
        <v>1086</v>
      </c>
      <c r="E11" s="432">
        <v>24</v>
      </c>
      <c r="F11" s="358">
        <v>0.69</v>
      </c>
      <c r="G11" s="435">
        <v>1</v>
      </c>
    </row>
    <row r="12" spans="2:7" ht="16.5" x14ac:dyDescent="0.3">
      <c r="B12" s="427">
        <v>8</v>
      </c>
      <c r="C12" s="425" t="s">
        <v>1201</v>
      </c>
      <c r="D12" s="428" t="s">
        <v>1120</v>
      </c>
      <c r="E12" s="432" t="s">
        <v>1213</v>
      </c>
      <c r="F12" s="358">
        <v>0.33</v>
      </c>
      <c r="G12" s="435">
        <v>1</v>
      </c>
    </row>
    <row r="13" spans="2:7" ht="16.5" x14ac:dyDescent="0.3">
      <c r="B13" s="429">
        <v>9</v>
      </c>
      <c r="C13" s="425" t="s">
        <v>1202</v>
      </c>
      <c r="D13" s="428" t="s">
        <v>1086</v>
      </c>
      <c r="E13" s="432">
        <v>0</v>
      </c>
      <c r="F13" s="358">
        <v>0.54</v>
      </c>
      <c r="G13" s="435">
        <v>1</v>
      </c>
    </row>
    <row r="14" spans="2:7" ht="16.5" x14ac:dyDescent="0.3">
      <c r="B14" s="429">
        <v>10</v>
      </c>
      <c r="C14" s="425" t="s">
        <v>1206</v>
      </c>
      <c r="D14" s="428" t="s">
        <v>1218</v>
      </c>
      <c r="E14" s="432">
        <v>9</v>
      </c>
      <c r="F14" s="358">
        <v>0.15</v>
      </c>
      <c r="G14" s="435">
        <v>1</v>
      </c>
    </row>
    <row r="15" spans="2:7" ht="16.5" x14ac:dyDescent="0.3">
      <c r="B15" s="430">
        <v>11</v>
      </c>
      <c r="C15" s="400" t="s">
        <v>1152</v>
      </c>
      <c r="D15" s="403" t="s">
        <v>1086</v>
      </c>
      <c r="E15" s="432" t="s">
        <v>1214</v>
      </c>
      <c r="F15" s="358">
        <v>0.86</v>
      </c>
      <c r="G15" s="435">
        <v>1</v>
      </c>
    </row>
    <row r="16" spans="2:7" ht="25.5" x14ac:dyDescent="0.3">
      <c r="B16" s="430">
        <v>12</v>
      </c>
      <c r="C16" s="400" t="s">
        <v>1151</v>
      </c>
      <c r="D16" s="403" t="s">
        <v>1120</v>
      </c>
      <c r="E16" s="432">
        <v>11</v>
      </c>
      <c r="F16" s="358">
        <v>0.59</v>
      </c>
      <c r="G16" s="435">
        <v>1</v>
      </c>
    </row>
    <row r="17" spans="2:7" ht="16.5" x14ac:dyDescent="0.3">
      <c r="B17" s="430">
        <v>13</v>
      </c>
      <c r="C17" s="400" t="s">
        <v>1150</v>
      </c>
      <c r="D17" s="403" t="s">
        <v>1086</v>
      </c>
      <c r="E17" s="432">
        <v>12</v>
      </c>
      <c r="F17" s="358">
        <v>0.78</v>
      </c>
      <c r="G17" s="435">
        <v>1</v>
      </c>
    </row>
    <row r="18" spans="2:7" ht="16.5" x14ac:dyDescent="0.3">
      <c r="B18" s="430">
        <v>14</v>
      </c>
      <c r="C18" s="400" t="s">
        <v>1149</v>
      </c>
      <c r="D18" s="403" t="s">
        <v>1120</v>
      </c>
      <c r="E18" s="432">
        <v>13</v>
      </c>
      <c r="F18" s="358">
        <v>0.36</v>
      </c>
      <c r="G18" s="435">
        <v>1</v>
      </c>
    </row>
    <row r="19" spans="2:7" ht="25.5" x14ac:dyDescent="0.3">
      <c r="B19" s="430">
        <v>15</v>
      </c>
      <c r="C19" s="400" t="s">
        <v>1207</v>
      </c>
      <c r="D19" s="403" t="s">
        <v>1086</v>
      </c>
      <c r="E19" s="432">
        <v>7</v>
      </c>
      <c r="F19" s="358">
        <v>1.19</v>
      </c>
      <c r="G19" s="435">
        <v>1</v>
      </c>
    </row>
    <row r="20" spans="2:7" ht="25.5" x14ac:dyDescent="0.3">
      <c r="B20" s="430">
        <v>16</v>
      </c>
      <c r="C20" s="400" t="s">
        <v>1208</v>
      </c>
      <c r="D20" s="403" t="s">
        <v>1086</v>
      </c>
      <c r="E20" s="433">
        <v>15</v>
      </c>
      <c r="F20" s="393">
        <v>1.27</v>
      </c>
      <c r="G20" s="433">
        <v>1</v>
      </c>
    </row>
    <row r="21" spans="2:7" ht="25.5" x14ac:dyDescent="0.3">
      <c r="B21" s="430">
        <v>17</v>
      </c>
      <c r="C21" s="400" t="s">
        <v>1144</v>
      </c>
      <c r="D21" s="403" t="s">
        <v>1086</v>
      </c>
      <c r="E21" s="432" t="s">
        <v>1215</v>
      </c>
      <c r="F21" s="358">
        <v>1.77</v>
      </c>
      <c r="G21" s="435">
        <v>1</v>
      </c>
    </row>
    <row r="22" spans="2:7" ht="16.5" x14ac:dyDescent="0.3">
      <c r="B22" s="430">
        <v>18</v>
      </c>
      <c r="C22" s="400" t="s">
        <v>1113</v>
      </c>
      <c r="D22" s="403" t="s">
        <v>1086</v>
      </c>
      <c r="E22" s="432" t="s">
        <v>1216</v>
      </c>
      <c r="F22" s="358">
        <v>0.95</v>
      </c>
      <c r="G22" s="435">
        <v>1</v>
      </c>
    </row>
    <row r="23" spans="2:7" ht="16.5" x14ac:dyDescent="0.3">
      <c r="B23" s="430">
        <v>19</v>
      </c>
      <c r="C23" s="400" t="s">
        <v>1143</v>
      </c>
      <c r="D23" s="403" t="s">
        <v>1142</v>
      </c>
      <c r="E23" s="432" t="s">
        <v>84</v>
      </c>
      <c r="F23" s="358">
        <v>1.3</v>
      </c>
      <c r="G23" s="435">
        <v>1</v>
      </c>
    </row>
    <row r="24" spans="2:7" ht="16.5" x14ac:dyDescent="0.3">
      <c r="B24" s="430">
        <v>20</v>
      </c>
      <c r="C24" s="400" t="s">
        <v>1141</v>
      </c>
      <c r="D24" s="403" t="s">
        <v>1086</v>
      </c>
      <c r="E24" s="432" t="s">
        <v>1217</v>
      </c>
      <c r="F24" s="358">
        <v>0.18</v>
      </c>
      <c r="G24" s="435">
        <v>1</v>
      </c>
    </row>
    <row r="25" spans="2:7" ht="16.5" x14ac:dyDescent="0.3">
      <c r="B25" s="430">
        <v>21</v>
      </c>
      <c r="C25" s="400" t="s">
        <v>1140</v>
      </c>
      <c r="D25" s="403" t="s">
        <v>1086</v>
      </c>
      <c r="E25" s="432">
        <v>19</v>
      </c>
      <c r="F25" s="358">
        <v>1.43</v>
      </c>
      <c r="G25" s="435">
        <v>1</v>
      </c>
    </row>
    <row r="26" spans="2:7" ht="16.5" x14ac:dyDescent="0.3">
      <c r="B26" s="430">
        <v>22</v>
      </c>
      <c r="C26" s="400" t="s">
        <v>1209</v>
      </c>
      <c r="D26" s="403" t="s">
        <v>1086</v>
      </c>
      <c r="E26" s="432">
        <v>5</v>
      </c>
      <c r="F26" s="358">
        <v>1.2</v>
      </c>
      <c r="G26" s="435">
        <v>1</v>
      </c>
    </row>
    <row r="27" spans="2:7" ht="16.5" x14ac:dyDescent="0.3">
      <c r="B27" s="430">
        <v>23</v>
      </c>
      <c r="C27" s="400" t="s">
        <v>1137</v>
      </c>
      <c r="D27" s="403" t="s">
        <v>1120</v>
      </c>
      <c r="E27" s="432">
        <v>6</v>
      </c>
      <c r="F27" s="4">
        <v>1.28</v>
      </c>
      <c r="G27" s="435">
        <v>1</v>
      </c>
    </row>
    <row r="28" spans="2:7" ht="16.5" x14ac:dyDescent="0.3">
      <c r="B28" s="430">
        <v>24</v>
      </c>
      <c r="C28" s="400" t="s">
        <v>1210</v>
      </c>
      <c r="D28" s="403" t="s">
        <v>1086</v>
      </c>
      <c r="E28" s="432">
        <v>25</v>
      </c>
      <c r="F28" s="4">
        <v>0.39</v>
      </c>
      <c r="G28" s="435">
        <v>1</v>
      </c>
    </row>
    <row r="29" spans="2:7" ht="16.5" x14ac:dyDescent="0.3">
      <c r="B29" s="430">
        <v>25</v>
      </c>
      <c r="C29" s="398" t="s">
        <v>1211</v>
      </c>
      <c r="D29" s="403" t="s">
        <v>1086</v>
      </c>
      <c r="E29" s="432">
        <v>0</v>
      </c>
      <c r="F29" s="4">
        <v>1.1000000000000001</v>
      </c>
      <c r="G29" s="435">
        <v>1</v>
      </c>
    </row>
    <row r="30" spans="2:7" ht="25.5" x14ac:dyDescent="0.3">
      <c r="B30" s="430">
        <v>26</v>
      </c>
      <c r="C30" s="402" t="s">
        <v>1136</v>
      </c>
      <c r="D30" s="401" t="s">
        <v>1196</v>
      </c>
      <c r="E30" s="432">
        <v>23</v>
      </c>
      <c r="F30" s="4">
        <v>0.84</v>
      </c>
      <c r="G30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E048-E964-4B10-8933-09ACB1BC0448}">
  <sheetPr codeName="Sheet24"/>
  <dimension ref="B1:XEU38"/>
  <sheetViews>
    <sheetView tabSelected="1" zoomScaleNormal="100" workbookViewId="0">
      <selection activeCell="C15" sqref="C15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 x14ac:dyDescent="0.3">
      <c r="B5" s="436">
        <v>1</v>
      </c>
      <c r="C5" s="425" t="s">
        <v>1170</v>
      </c>
      <c r="D5" s="428" t="s">
        <v>1169</v>
      </c>
      <c r="E5" s="431">
        <v>0</v>
      </c>
      <c r="F5" s="393">
        <v>0.56999999999999995</v>
      </c>
      <c r="G5" s="434">
        <v>1</v>
      </c>
    </row>
    <row r="6" spans="2:7" ht="51" x14ac:dyDescent="0.3">
      <c r="B6" s="436">
        <v>2</v>
      </c>
      <c r="C6" s="425" t="s">
        <v>1200</v>
      </c>
      <c r="D6" s="428" t="s">
        <v>1086</v>
      </c>
      <c r="E6" s="431">
        <v>1</v>
      </c>
      <c r="F6" s="393">
        <v>0.61</v>
      </c>
      <c r="G6" s="434">
        <v>1</v>
      </c>
    </row>
    <row r="7" spans="2:7" ht="16.5" x14ac:dyDescent="0.3">
      <c r="B7" s="437">
        <v>3</v>
      </c>
      <c r="C7" s="400" t="s">
        <v>1085</v>
      </c>
      <c r="D7" s="403" t="s">
        <v>1086</v>
      </c>
      <c r="E7" s="432">
        <v>2</v>
      </c>
      <c r="F7" s="358">
        <v>0.48</v>
      </c>
      <c r="G7" s="435">
        <v>1</v>
      </c>
    </row>
    <row r="8" spans="2:7" ht="16.5" x14ac:dyDescent="0.3">
      <c r="B8" s="437">
        <v>4</v>
      </c>
      <c r="C8" s="400" t="s">
        <v>1166</v>
      </c>
      <c r="D8" s="403" t="s">
        <v>1086</v>
      </c>
      <c r="E8" s="432">
        <v>23</v>
      </c>
      <c r="F8" s="393">
        <v>1.38</v>
      </c>
      <c r="G8" s="435">
        <v>1</v>
      </c>
    </row>
    <row r="9" spans="2:7" ht="51" x14ac:dyDescent="0.3">
      <c r="B9" s="437">
        <v>5</v>
      </c>
      <c r="C9" s="400" t="s">
        <v>1165</v>
      </c>
      <c r="D9" s="403" t="s">
        <v>1120</v>
      </c>
      <c r="E9" s="432">
        <v>3</v>
      </c>
      <c r="F9" s="358">
        <v>0.38</v>
      </c>
      <c r="G9" s="435">
        <v>1</v>
      </c>
    </row>
    <row r="10" spans="2:7" ht="16.5" x14ac:dyDescent="0.3">
      <c r="B10" s="437">
        <v>6</v>
      </c>
      <c r="C10" s="400" t="s">
        <v>1164</v>
      </c>
      <c r="D10" s="403" t="s">
        <v>1163</v>
      </c>
      <c r="E10" s="432">
        <v>5</v>
      </c>
      <c r="F10" s="358">
        <v>0.99</v>
      </c>
      <c r="G10" s="435">
        <v>1</v>
      </c>
    </row>
    <row r="11" spans="2:7" ht="16.5" x14ac:dyDescent="0.3">
      <c r="B11" s="437">
        <v>7</v>
      </c>
      <c r="C11" s="400" t="s">
        <v>1162</v>
      </c>
      <c r="D11" s="403" t="s">
        <v>1142</v>
      </c>
      <c r="E11" s="432">
        <v>24</v>
      </c>
      <c r="F11" s="358">
        <v>0.49</v>
      </c>
      <c r="G11" s="435">
        <v>1</v>
      </c>
    </row>
    <row r="12" spans="2:7" ht="16.5" x14ac:dyDescent="0.3">
      <c r="B12" s="437">
        <v>8</v>
      </c>
      <c r="C12" s="400" t="s">
        <v>1161</v>
      </c>
      <c r="D12" s="403" t="s">
        <v>1142</v>
      </c>
      <c r="E12" s="432">
        <v>26</v>
      </c>
      <c r="F12" s="358">
        <v>0.93</v>
      </c>
      <c r="G12" s="435">
        <v>1</v>
      </c>
    </row>
    <row r="13" spans="2:7" ht="16.5" x14ac:dyDescent="0.3">
      <c r="B13" s="437">
        <v>9</v>
      </c>
      <c r="C13" s="400" t="s">
        <v>1160</v>
      </c>
      <c r="D13" s="403" t="s">
        <v>1086</v>
      </c>
      <c r="E13" s="432">
        <v>0</v>
      </c>
      <c r="F13" s="358">
        <v>0.3</v>
      </c>
      <c r="G13" s="435">
        <v>1</v>
      </c>
    </row>
    <row r="14" spans="2:7" ht="38.25" x14ac:dyDescent="0.3">
      <c r="B14" s="437">
        <v>10</v>
      </c>
      <c r="C14" s="400" t="s">
        <v>1159</v>
      </c>
      <c r="D14" s="403" t="s">
        <v>1086</v>
      </c>
      <c r="E14" s="432">
        <v>31</v>
      </c>
      <c r="F14" s="358">
        <v>0.39</v>
      </c>
      <c r="G14" s="435">
        <v>1</v>
      </c>
    </row>
    <row r="15" spans="2:7" ht="16.5" x14ac:dyDescent="0.3">
      <c r="B15" s="427">
        <v>11</v>
      </c>
      <c r="C15" s="425" t="s">
        <v>1158</v>
      </c>
      <c r="D15" s="428" t="s">
        <v>1120</v>
      </c>
      <c r="E15" s="432">
        <v>14</v>
      </c>
      <c r="F15" s="358">
        <v>0.09</v>
      </c>
      <c r="G15" s="435">
        <v>1</v>
      </c>
    </row>
    <row r="16" spans="2:7" ht="16.5" x14ac:dyDescent="0.3">
      <c r="B16" s="436">
        <v>12</v>
      </c>
      <c r="C16" s="425" t="s">
        <v>1157</v>
      </c>
      <c r="D16" s="428" t="s">
        <v>1120</v>
      </c>
      <c r="E16" s="432">
        <v>9</v>
      </c>
      <c r="F16" s="358">
        <v>0.24</v>
      </c>
      <c r="G16" s="435">
        <v>1</v>
      </c>
    </row>
    <row r="17" spans="2:7" ht="16.5" x14ac:dyDescent="0.3">
      <c r="B17" s="436">
        <v>13</v>
      </c>
      <c r="C17" s="425" t="s">
        <v>1156</v>
      </c>
      <c r="D17" s="428" t="s">
        <v>1086</v>
      </c>
      <c r="E17" s="432">
        <v>0</v>
      </c>
      <c r="F17" s="358">
        <v>0.3</v>
      </c>
      <c r="G17" s="435">
        <v>1</v>
      </c>
    </row>
    <row r="18" spans="2:7" ht="16.5" x14ac:dyDescent="0.3">
      <c r="B18" s="436">
        <v>14</v>
      </c>
      <c r="C18" s="425" t="s">
        <v>1155</v>
      </c>
      <c r="D18" s="428" t="s">
        <v>1086</v>
      </c>
      <c r="E18" s="432">
        <v>0</v>
      </c>
      <c r="F18" s="393">
        <v>0.24</v>
      </c>
      <c r="G18" s="435">
        <v>1</v>
      </c>
    </row>
    <row r="19" spans="2:7" ht="16.5" x14ac:dyDescent="0.3">
      <c r="B19" s="436">
        <v>15</v>
      </c>
      <c r="C19" s="425" t="s">
        <v>1154</v>
      </c>
      <c r="D19" s="428" t="s">
        <v>1122</v>
      </c>
      <c r="E19" s="432">
        <v>13</v>
      </c>
      <c r="F19" s="358">
        <v>0.06</v>
      </c>
      <c r="G19" s="435">
        <v>1</v>
      </c>
    </row>
    <row r="20" spans="2:7" ht="16.5" x14ac:dyDescent="0.3">
      <c r="B20" s="437">
        <v>16</v>
      </c>
      <c r="C20" s="400" t="s">
        <v>1153</v>
      </c>
      <c r="D20" s="403" t="s">
        <v>1086</v>
      </c>
      <c r="E20" s="432">
        <v>15</v>
      </c>
      <c r="F20" s="358">
        <v>0.09</v>
      </c>
      <c r="G20" s="435">
        <v>1</v>
      </c>
    </row>
    <row r="21" spans="2:7" ht="16.5" x14ac:dyDescent="0.3">
      <c r="B21" s="437">
        <v>17</v>
      </c>
      <c r="C21" s="400" t="s">
        <v>1152</v>
      </c>
      <c r="D21" s="403" t="s">
        <v>1086</v>
      </c>
      <c r="E21" s="432" t="s">
        <v>1219</v>
      </c>
      <c r="F21" s="358">
        <v>0.86</v>
      </c>
      <c r="G21" s="435">
        <v>1</v>
      </c>
    </row>
    <row r="22" spans="2:7" ht="25.5" x14ac:dyDescent="0.3">
      <c r="B22" s="437">
        <v>18</v>
      </c>
      <c r="C22" s="400" t="s">
        <v>1151</v>
      </c>
      <c r="D22" s="403" t="s">
        <v>1120</v>
      </c>
      <c r="E22" s="432">
        <v>17</v>
      </c>
      <c r="F22" s="358">
        <v>0.59</v>
      </c>
      <c r="G22" s="435">
        <v>1</v>
      </c>
    </row>
    <row r="23" spans="2:7" ht="16.5" x14ac:dyDescent="0.3">
      <c r="B23" s="437">
        <v>19</v>
      </c>
      <c r="C23" s="400" t="s">
        <v>1150</v>
      </c>
      <c r="D23" s="403" t="s">
        <v>1086</v>
      </c>
      <c r="E23" s="432">
        <v>18</v>
      </c>
      <c r="F23" s="358">
        <v>0.78</v>
      </c>
      <c r="G23" s="435">
        <v>1</v>
      </c>
    </row>
    <row r="24" spans="2:7" ht="16.5" x14ac:dyDescent="0.3">
      <c r="B24" s="437">
        <v>20</v>
      </c>
      <c r="C24" s="400" t="s">
        <v>1149</v>
      </c>
      <c r="D24" s="403" t="s">
        <v>1120</v>
      </c>
      <c r="E24" s="432">
        <v>19</v>
      </c>
      <c r="F24" s="358">
        <v>0.36</v>
      </c>
      <c r="G24" s="435">
        <v>1</v>
      </c>
    </row>
    <row r="25" spans="2:7" ht="38.25" x14ac:dyDescent="0.3">
      <c r="B25" s="437">
        <v>21</v>
      </c>
      <c r="C25" s="400" t="s">
        <v>1207</v>
      </c>
      <c r="D25" s="403" t="s">
        <v>1086</v>
      </c>
      <c r="E25" s="432">
        <v>10</v>
      </c>
      <c r="F25" s="358">
        <v>1.19</v>
      </c>
      <c r="G25" s="435">
        <v>1</v>
      </c>
    </row>
    <row r="26" spans="2:7" ht="38.25" x14ac:dyDescent="0.3">
      <c r="B26" s="437">
        <v>22</v>
      </c>
      <c r="C26" s="400" t="s">
        <v>1208</v>
      </c>
      <c r="D26" s="403" t="s">
        <v>1086</v>
      </c>
      <c r="E26" s="433">
        <v>21</v>
      </c>
      <c r="F26" s="393">
        <v>1.27</v>
      </c>
      <c r="G26" s="433">
        <v>1</v>
      </c>
    </row>
    <row r="27" spans="2:7" ht="38.25" x14ac:dyDescent="0.3">
      <c r="B27" s="437">
        <v>23</v>
      </c>
      <c r="C27" s="400" t="s">
        <v>1144</v>
      </c>
      <c r="D27" s="403" t="s">
        <v>1086</v>
      </c>
      <c r="E27" s="432" t="s">
        <v>1220</v>
      </c>
      <c r="F27" s="358">
        <v>0.95</v>
      </c>
      <c r="G27" s="435">
        <v>1</v>
      </c>
    </row>
    <row r="28" spans="2:7" ht="16.5" x14ac:dyDescent="0.3">
      <c r="B28" s="437">
        <v>24</v>
      </c>
      <c r="C28" s="400" t="s">
        <v>1113</v>
      </c>
      <c r="D28" s="403" t="s">
        <v>1086</v>
      </c>
      <c r="E28" s="432" t="s">
        <v>1221</v>
      </c>
      <c r="F28" s="358">
        <v>0.95</v>
      </c>
      <c r="G28" s="435">
        <v>1</v>
      </c>
    </row>
    <row r="29" spans="2:7" ht="16.5" x14ac:dyDescent="0.3">
      <c r="B29" s="437">
        <v>25</v>
      </c>
      <c r="C29" s="400" t="s">
        <v>1143</v>
      </c>
      <c r="D29" s="403" t="s">
        <v>1142</v>
      </c>
      <c r="E29" s="432" t="s">
        <v>1222</v>
      </c>
      <c r="F29" s="358">
        <v>1.3</v>
      </c>
      <c r="G29" s="435">
        <v>1</v>
      </c>
    </row>
    <row r="30" spans="2:7" ht="16.5" x14ac:dyDescent="0.3">
      <c r="B30" s="437">
        <v>26</v>
      </c>
      <c r="C30" s="400" t="s">
        <v>1141</v>
      </c>
      <c r="D30" s="403" t="s">
        <v>1086</v>
      </c>
      <c r="E30" s="432" t="s">
        <v>1223</v>
      </c>
      <c r="F30" s="358">
        <v>0.18</v>
      </c>
      <c r="G30" s="435">
        <v>1</v>
      </c>
    </row>
    <row r="31" spans="2:7" ht="25.5" x14ac:dyDescent="0.3">
      <c r="B31" s="437">
        <v>27</v>
      </c>
      <c r="C31" s="400" t="s">
        <v>1140</v>
      </c>
      <c r="D31" s="403" t="s">
        <v>1086</v>
      </c>
      <c r="E31" s="432">
        <v>25</v>
      </c>
      <c r="F31" s="358">
        <v>1.43</v>
      </c>
      <c r="G31" s="435">
        <v>2</v>
      </c>
    </row>
    <row r="32" spans="2:7" ht="16.5" x14ac:dyDescent="0.3">
      <c r="B32" s="437">
        <v>28</v>
      </c>
      <c r="C32" s="400" t="s">
        <v>1139</v>
      </c>
      <c r="D32" s="403" t="s">
        <v>1086</v>
      </c>
      <c r="E32" s="432">
        <v>6</v>
      </c>
      <c r="F32" s="358">
        <v>1.02</v>
      </c>
      <c r="G32" s="435">
        <v>1</v>
      </c>
    </row>
    <row r="33" spans="2:7" ht="16.5" x14ac:dyDescent="0.3">
      <c r="B33" s="437">
        <v>29</v>
      </c>
      <c r="C33" s="398" t="s">
        <v>1138</v>
      </c>
      <c r="D33" s="403" t="s">
        <v>1086</v>
      </c>
      <c r="E33" s="432">
        <v>28</v>
      </c>
      <c r="F33" s="393">
        <v>0.18</v>
      </c>
      <c r="G33" s="435">
        <v>1</v>
      </c>
    </row>
    <row r="34" spans="2:7" ht="25.5" x14ac:dyDescent="0.3">
      <c r="B34" s="437">
        <v>30</v>
      </c>
      <c r="C34" s="400" t="s">
        <v>1137</v>
      </c>
      <c r="D34" s="403" t="s">
        <v>1120</v>
      </c>
      <c r="E34" s="432">
        <v>8</v>
      </c>
      <c r="F34" s="4">
        <v>1.28</v>
      </c>
      <c r="G34" s="435">
        <v>1</v>
      </c>
    </row>
    <row r="35" spans="2:7" ht="25.5" x14ac:dyDescent="0.3">
      <c r="B35" s="437">
        <v>31</v>
      </c>
      <c r="C35" s="400" t="s">
        <v>1210</v>
      </c>
      <c r="D35" s="403" t="s">
        <v>1086</v>
      </c>
      <c r="E35" s="432">
        <v>33</v>
      </c>
      <c r="F35" s="4">
        <v>0.39</v>
      </c>
      <c r="G35" s="435">
        <v>1</v>
      </c>
    </row>
    <row r="36" spans="2:7" ht="16.5" x14ac:dyDescent="0.3">
      <c r="B36" s="437">
        <v>32</v>
      </c>
      <c r="C36" s="398" t="s">
        <v>1133</v>
      </c>
      <c r="D36" s="403" t="s">
        <v>1086</v>
      </c>
      <c r="E36" s="432">
        <v>0</v>
      </c>
      <c r="F36" s="4">
        <v>0.82</v>
      </c>
      <c r="G36" s="435">
        <v>1</v>
      </c>
    </row>
    <row r="37" spans="2:7" ht="16.5" x14ac:dyDescent="0.3">
      <c r="B37" s="437">
        <v>33</v>
      </c>
      <c r="C37" s="398" t="s">
        <v>1132</v>
      </c>
      <c r="D37" s="403" t="s">
        <v>1086</v>
      </c>
      <c r="E37" s="432">
        <v>0</v>
      </c>
      <c r="F37" s="4">
        <v>0.28000000000000003</v>
      </c>
      <c r="G37" s="435">
        <v>1</v>
      </c>
    </row>
    <row r="38" spans="2:7" ht="38.25" x14ac:dyDescent="0.3">
      <c r="B38" s="437">
        <v>34</v>
      </c>
      <c r="C38" s="402" t="s">
        <v>1136</v>
      </c>
      <c r="D38" s="401" t="s">
        <v>1196</v>
      </c>
      <c r="E38" s="432">
        <v>30</v>
      </c>
      <c r="F38" s="4">
        <v>0.84</v>
      </c>
      <c r="G38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5AFC-0EC4-475C-9BCC-9CD1A2790868}">
  <sheetPr codeName="Sheet22"/>
  <dimension ref="B1:XEU42"/>
  <sheetViews>
    <sheetView topLeftCell="A19" zoomScale="90" zoomScaleNormal="90" workbookViewId="0">
      <selection activeCell="XEV39" sqref="XEV3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 x14ac:dyDescent="0.3">
      <c r="B5" s="405">
        <v>1</v>
      </c>
      <c r="C5" s="425" t="s">
        <v>1170</v>
      </c>
      <c r="D5" s="426" t="s">
        <v>1169</v>
      </c>
      <c r="E5" s="431">
        <v>0</v>
      </c>
      <c r="F5" s="393">
        <v>0.48</v>
      </c>
      <c r="G5" s="434">
        <v>1</v>
      </c>
    </row>
    <row r="6" spans="2:7" ht="25.5" x14ac:dyDescent="0.3">
      <c r="B6" s="405">
        <v>2</v>
      </c>
      <c r="C6" s="425" t="s">
        <v>1168</v>
      </c>
      <c r="D6" s="426" t="s">
        <v>1086</v>
      </c>
      <c r="E6" s="431">
        <v>1</v>
      </c>
      <c r="F6" s="393">
        <v>0.4</v>
      </c>
      <c r="G6" s="434">
        <v>1</v>
      </c>
    </row>
    <row r="7" spans="2:7" ht="25.5" x14ac:dyDescent="0.3">
      <c r="B7" s="405">
        <v>3</v>
      </c>
      <c r="C7" s="425" t="s">
        <v>1167</v>
      </c>
      <c r="D7" s="426" t="s">
        <v>1086</v>
      </c>
      <c r="E7" s="431">
        <v>2</v>
      </c>
      <c r="F7" s="393">
        <v>0.51</v>
      </c>
      <c r="G7" s="434">
        <v>1</v>
      </c>
    </row>
    <row r="8" spans="2:7" ht="16.5" x14ac:dyDescent="0.3">
      <c r="B8" s="399">
        <v>4</v>
      </c>
      <c r="C8" s="400" t="s">
        <v>1085</v>
      </c>
      <c r="D8" s="403" t="s">
        <v>1086</v>
      </c>
      <c r="E8" s="432">
        <v>3</v>
      </c>
      <c r="F8" s="358">
        <v>0.48</v>
      </c>
      <c r="G8" s="435">
        <v>1</v>
      </c>
    </row>
    <row r="9" spans="2:7" ht="16.5" x14ac:dyDescent="0.3">
      <c r="B9" s="399">
        <v>5</v>
      </c>
      <c r="C9" s="400" t="s">
        <v>1166</v>
      </c>
      <c r="D9" s="403" t="s">
        <v>1086</v>
      </c>
      <c r="E9" s="432">
        <v>26</v>
      </c>
      <c r="F9" s="393">
        <v>1.38</v>
      </c>
      <c r="G9" s="435">
        <v>1</v>
      </c>
    </row>
    <row r="10" spans="2:7" ht="51" x14ac:dyDescent="0.3">
      <c r="B10" s="399">
        <v>6</v>
      </c>
      <c r="C10" s="400" t="s">
        <v>1165</v>
      </c>
      <c r="D10" s="403" t="s">
        <v>1120</v>
      </c>
      <c r="E10" s="432">
        <v>4</v>
      </c>
      <c r="F10" s="358">
        <v>0.38</v>
      </c>
      <c r="G10" s="435">
        <v>1</v>
      </c>
    </row>
    <row r="11" spans="2:7" ht="16.5" x14ac:dyDescent="0.3">
      <c r="B11" s="399">
        <v>7</v>
      </c>
      <c r="C11" s="400" t="s">
        <v>1164</v>
      </c>
      <c r="D11" s="403" t="s">
        <v>1163</v>
      </c>
      <c r="E11" s="432">
        <v>6</v>
      </c>
      <c r="F11" s="358">
        <v>0.99</v>
      </c>
      <c r="G11" s="435">
        <v>1</v>
      </c>
    </row>
    <row r="12" spans="2:7" ht="16.5" x14ac:dyDescent="0.3">
      <c r="B12" s="399">
        <v>8</v>
      </c>
      <c r="C12" s="400" t="s">
        <v>1162</v>
      </c>
      <c r="D12" s="403" t="s">
        <v>1142</v>
      </c>
      <c r="E12" s="432">
        <v>27</v>
      </c>
      <c r="F12" s="358">
        <v>0.49</v>
      </c>
      <c r="G12" s="435">
        <v>1</v>
      </c>
    </row>
    <row r="13" spans="2:7" ht="16.5" x14ac:dyDescent="0.3">
      <c r="B13" s="399">
        <v>9</v>
      </c>
      <c r="C13" s="400" t="s">
        <v>1161</v>
      </c>
      <c r="D13" s="403" t="s">
        <v>1142</v>
      </c>
      <c r="E13" s="432">
        <v>29</v>
      </c>
      <c r="F13" s="358">
        <v>0.93</v>
      </c>
      <c r="G13" s="435">
        <v>1</v>
      </c>
    </row>
    <row r="14" spans="2:7" ht="16.5" x14ac:dyDescent="0.3">
      <c r="B14" s="399">
        <v>10</v>
      </c>
      <c r="C14" s="400" t="s">
        <v>1160</v>
      </c>
      <c r="D14" s="403" t="s">
        <v>1086</v>
      </c>
      <c r="E14" s="432">
        <v>0</v>
      </c>
      <c r="F14" s="358">
        <v>0.3</v>
      </c>
      <c r="G14" s="435">
        <v>1</v>
      </c>
    </row>
    <row r="15" spans="2:7" ht="38.25" x14ac:dyDescent="0.3">
      <c r="B15" s="399">
        <v>11</v>
      </c>
      <c r="C15" s="400" t="s">
        <v>1159</v>
      </c>
      <c r="D15" s="403" t="s">
        <v>1086</v>
      </c>
      <c r="E15" s="432">
        <v>34</v>
      </c>
      <c r="F15" s="358">
        <v>0.39</v>
      </c>
      <c r="G15" s="435">
        <v>1</v>
      </c>
    </row>
    <row r="16" spans="2:7" ht="16.5" x14ac:dyDescent="0.3">
      <c r="B16" s="427">
        <v>12</v>
      </c>
      <c r="C16" s="425" t="s">
        <v>1158</v>
      </c>
      <c r="D16" s="428" t="s">
        <v>1120</v>
      </c>
      <c r="E16" s="432">
        <v>15</v>
      </c>
      <c r="F16" s="358">
        <v>0.09</v>
      </c>
      <c r="G16" s="435">
        <v>1</v>
      </c>
    </row>
    <row r="17" spans="2:7" ht="16.5" x14ac:dyDescent="0.3">
      <c r="B17" s="405">
        <v>13</v>
      </c>
      <c r="C17" s="425" t="s">
        <v>1157</v>
      </c>
      <c r="D17" s="428" t="s">
        <v>1120</v>
      </c>
      <c r="E17" s="432">
        <v>10</v>
      </c>
      <c r="F17" s="358">
        <v>0.24</v>
      </c>
      <c r="G17" s="435">
        <v>1</v>
      </c>
    </row>
    <row r="18" spans="2:7" ht="16.5" x14ac:dyDescent="0.3">
      <c r="B18" s="405">
        <v>14</v>
      </c>
      <c r="C18" s="425" t="s">
        <v>1156</v>
      </c>
      <c r="D18" s="428" t="s">
        <v>1086</v>
      </c>
      <c r="E18" s="432">
        <v>0</v>
      </c>
      <c r="F18" s="358">
        <v>0.3</v>
      </c>
      <c r="G18" s="435">
        <v>1</v>
      </c>
    </row>
    <row r="19" spans="2:7" ht="16.5" x14ac:dyDescent="0.3">
      <c r="B19" s="405">
        <v>15</v>
      </c>
      <c r="C19" s="425" t="s">
        <v>1155</v>
      </c>
      <c r="D19" s="428" t="s">
        <v>1086</v>
      </c>
      <c r="E19" s="432">
        <v>0</v>
      </c>
      <c r="F19" s="393">
        <v>0.24</v>
      </c>
      <c r="G19" s="435">
        <v>1</v>
      </c>
    </row>
    <row r="20" spans="2:7" ht="16.5" x14ac:dyDescent="0.3">
      <c r="B20" s="405">
        <v>16</v>
      </c>
      <c r="C20" s="425" t="s">
        <v>1154</v>
      </c>
      <c r="D20" s="426" t="s">
        <v>1122</v>
      </c>
      <c r="E20" s="432">
        <v>14</v>
      </c>
      <c r="F20" s="358">
        <v>0.06</v>
      </c>
      <c r="G20" s="435">
        <v>1</v>
      </c>
    </row>
    <row r="21" spans="2:7" ht="16.5" x14ac:dyDescent="0.3">
      <c r="B21" s="399">
        <v>17</v>
      </c>
      <c r="C21" s="400" t="s">
        <v>1153</v>
      </c>
      <c r="D21" s="403" t="s">
        <v>1086</v>
      </c>
      <c r="E21" s="432">
        <v>16</v>
      </c>
      <c r="F21" s="358">
        <v>0.09</v>
      </c>
      <c r="G21" s="435">
        <v>1</v>
      </c>
    </row>
    <row r="22" spans="2:7" ht="16.5" x14ac:dyDescent="0.3">
      <c r="B22" s="399">
        <v>18</v>
      </c>
      <c r="C22" s="400" t="s">
        <v>1152</v>
      </c>
      <c r="D22" s="403" t="s">
        <v>1086</v>
      </c>
      <c r="E22" s="432" t="s">
        <v>1191</v>
      </c>
      <c r="F22" s="358">
        <v>0.86</v>
      </c>
      <c r="G22" s="435">
        <v>1</v>
      </c>
    </row>
    <row r="23" spans="2:7" ht="25.5" x14ac:dyDescent="0.3">
      <c r="B23" s="399">
        <v>19</v>
      </c>
      <c r="C23" s="400" t="s">
        <v>1151</v>
      </c>
      <c r="D23" s="403" t="s">
        <v>1120</v>
      </c>
      <c r="E23" s="432">
        <v>18</v>
      </c>
      <c r="F23" s="358">
        <v>0.59</v>
      </c>
      <c r="G23" s="435">
        <v>1</v>
      </c>
    </row>
    <row r="24" spans="2:7" ht="16.5" x14ac:dyDescent="0.3">
      <c r="B24" s="399">
        <v>20</v>
      </c>
      <c r="C24" s="400" t="s">
        <v>1150</v>
      </c>
      <c r="D24" s="403" t="s">
        <v>1086</v>
      </c>
      <c r="E24" s="432">
        <v>19</v>
      </c>
      <c r="F24" s="358">
        <v>0.78</v>
      </c>
      <c r="G24" s="435">
        <v>1</v>
      </c>
    </row>
    <row r="25" spans="2:7" ht="16.5" x14ac:dyDescent="0.3">
      <c r="B25" s="399">
        <v>21</v>
      </c>
      <c r="C25" s="400" t="s">
        <v>1149</v>
      </c>
      <c r="D25" s="403" t="s">
        <v>1120</v>
      </c>
      <c r="E25" s="432">
        <v>20</v>
      </c>
      <c r="F25" s="358">
        <v>0.36</v>
      </c>
      <c r="G25" s="435">
        <v>1</v>
      </c>
    </row>
    <row r="26" spans="2:7" ht="25.5" x14ac:dyDescent="0.3">
      <c r="B26" s="399">
        <v>22</v>
      </c>
      <c r="C26" s="400" t="s">
        <v>1148</v>
      </c>
      <c r="D26" s="403" t="s">
        <v>1086</v>
      </c>
      <c r="E26" s="432" t="s">
        <v>1192</v>
      </c>
      <c r="F26" s="358">
        <v>0.69</v>
      </c>
      <c r="G26" s="435">
        <v>1</v>
      </c>
    </row>
    <row r="27" spans="2:7" ht="25.5" x14ac:dyDescent="0.3">
      <c r="B27" s="399">
        <v>23</v>
      </c>
      <c r="C27" s="400" t="s">
        <v>1147</v>
      </c>
      <c r="D27" s="403" t="s">
        <v>1086</v>
      </c>
      <c r="E27" s="432">
        <v>0</v>
      </c>
      <c r="F27" s="358">
        <v>0.5</v>
      </c>
      <c r="G27" s="435">
        <v>1</v>
      </c>
    </row>
    <row r="28" spans="2:7" ht="25.5" x14ac:dyDescent="0.3">
      <c r="B28" s="399">
        <v>24</v>
      </c>
      <c r="C28" s="400" t="s">
        <v>1146</v>
      </c>
      <c r="D28" s="403" t="s">
        <v>1086</v>
      </c>
      <c r="E28" s="433">
        <v>25</v>
      </c>
      <c r="F28" s="393">
        <v>0.94</v>
      </c>
      <c r="G28" s="433">
        <v>1</v>
      </c>
    </row>
    <row r="29" spans="2:7" ht="25.5" x14ac:dyDescent="0.3">
      <c r="B29" s="399">
        <v>25</v>
      </c>
      <c r="C29" s="400" t="s">
        <v>1145</v>
      </c>
      <c r="D29" s="403" t="s">
        <v>1086</v>
      </c>
      <c r="E29" s="433">
        <v>22</v>
      </c>
      <c r="F29" s="358">
        <v>0.33</v>
      </c>
      <c r="G29" s="433">
        <v>1</v>
      </c>
    </row>
    <row r="30" spans="2:7" ht="38.25" x14ac:dyDescent="0.3">
      <c r="B30" s="399">
        <v>26</v>
      </c>
      <c r="C30" s="400" t="s">
        <v>1144</v>
      </c>
      <c r="D30" s="403" t="s">
        <v>1086</v>
      </c>
      <c r="E30" s="432" t="s">
        <v>1193</v>
      </c>
      <c r="F30" s="358">
        <v>0.95</v>
      </c>
      <c r="G30" s="435">
        <v>1</v>
      </c>
    </row>
    <row r="31" spans="2:7" ht="16.5" x14ac:dyDescent="0.3">
      <c r="B31" s="399">
        <v>27</v>
      </c>
      <c r="C31" s="400" t="s">
        <v>1113</v>
      </c>
      <c r="D31" s="403" t="s">
        <v>1086</v>
      </c>
      <c r="E31" s="432" t="s">
        <v>1194</v>
      </c>
      <c r="F31" s="358">
        <v>0.95</v>
      </c>
      <c r="G31" s="435">
        <v>1</v>
      </c>
    </row>
    <row r="32" spans="2:7" ht="16.5" x14ac:dyDescent="0.3">
      <c r="B32" s="399">
        <v>28</v>
      </c>
      <c r="C32" s="400" t="s">
        <v>1143</v>
      </c>
      <c r="D32" s="403" t="s">
        <v>1142</v>
      </c>
      <c r="E32" s="432" t="s">
        <v>1195</v>
      </c>
      <c r="F32" s="358">
        <v>1.3</v>
      </c>
      <c r="G32" s="435">
        <v>1</v>
      </c>
    </row>
    <row r="33" spans="2:7" ht="16.5" x14ac:dyDescent="0.3">
      <c r="B33" s="399">
        <v>29</v>
      </c>
      <c r="C33" s="400" t="s">
        <v>1141</v>
      </c>
      <c r="D33" s="403" t="s">
        <v>1086</v>
      </c>
      <c r="E33" s="432" t="s">
        <v>1199</v>
      </c>
      <c r="F33" s="358">
        <v>0.18</v>
      </c>
      <c r="G33" s="435">
        <v>1</v>
      </c>
    </row>
    <row r="34" spans="2:7" ht="25.5" x14ac:dyDescent="0.3">
      <c r="B34" s="399">
        <v>30</v>
      </c>
      <c r="C34" s="400" t="s">
        <v>1140</v>
      </c>
      <c r="D34" s="403" t="s">
        <v>1086</v>
      </c>
      <c r="E34" s="432">
        <v>28</v>
      </c>
      <c r="F34" s="358">
        <v>1.43</v>
      </c>
      <c r="G34" s="435">
        <v>1</v>
      </c>
    </row>
    <row r="35" spans="2:7" ht="16.5" x14ac:dyDescent="0.3">
      <c r="B35" s="399">
        <v>31</v>
      </c>
      <c r="C35" s="400" t="s">
        <v>1139</v>
      </c>
      <c r="D35" s="403" t="s">
        <v>1086</v>
      </c>
      <c r="E35" s="432">
        <v>7</v>
      </c>
      <c r="F35" s="358">
        <v>1.02</v>
      </c>
      <c r="G35" s="435">
        <v>1</v>
      </c>
    </row>
    <row r="36" spans="2:7" ht="16.5" x14ac:dyDescent="0.3">
      <c r="B36" s="399">
        <v>32</v>
      </c>
      <c r="C36" s="398" t="s">
        <v>1138</v>
      </c>
      <c r="D36" s="403" t="s">
        <v>1086</v>
      </c>
      <c r="E36" s="432">
        <v>31</v>
      </c>
      <c r="F36" s="393">
        <v>0.18</v>
      </c>
      <c r="G36" s="435">
        <v>1</v>
      </c>
    </row>
    <row r="37" spans="2:7" ht="25.5" x14ac:dyDescent="0.3">
      <c r="B37" s="399">
        <v>33</v>
      </c>
      <c r="C37" s="400" t="s">
        <v>1137</v>
      </c>
      <c r="D37" s="403" t="s">
        <v>1120</v>
      </c>
      <c r="E37" s="432">
        <v>9</v>
      </c>
      <c r="F37" s="4">
        <v>1.28</v>
      </c>
      <c r="G37" s="435">
        <v>1</v>
      </c>
    </row>
    <row r="38" spans="2:7" ht="16.5" x14ac:dyDescent="0.3">
      <c r="B38" s="399">
        <v>34</v>
      </c>
      <c r="C38" s="400" t="s">
        <v>1135</v>
      </c>
      <c r="D38" s="403" t="s">
        <v>1086</v>
      </c>
      <c r="E38" s="432">
        <v>35</v>
      </c>
      <c r="F38" s="4">
        <v>7.0000000000000007E-2</v>
      </c>
      <c r="G38" s="435">
        <v>1</v>
      </c>
    </row>
    <row r="39" spans="2:7" ht="16.5" x14ac:dyDescent="0.3">
      <c r="B39" s="399">
        <v>35</v>
      </c>
      <c r="C39" s="398" t="s">
        <v>1134</v>
      </c>
      <c r="D39" s="403" t="s">
        <v>1086</v>
      </c>
      <c r="E39" s="432">
        <v>37</v>
      </c>
      <c r="F39" s="4">
        <v>0.32</v>
      </c>
      <c r="G39" s="435">
        <v>1</v>
      </c>
    </row>
    <row r="40" spans="2:7" ht="16.5" x14ac:dyDescent="0.3">
      <c r="B40" s="399">
        <v>36</v>
      </c>
      <c r="C40" s="398" t="s">
        <v>1133</v>
      </c>
      <c r="D40" s="403" t="s">
        <v>1086</v>
      </c>
      <c r="E40" s="432">
        <v>0</v>
      </c>
      <c r="F40" s="4">
        <v>0.82</v>
      </c>
      <c r="G40" s="435">
        <v>1</v>
      </c>
    </row>
    <row r="41" spans="2:7" ht="16.5" x14ac:dyDescent="0.3">
      <c r="B41" s="399">
        <v>37</v>
      </c>
      <c r="C41" s="398" t="s">
        <v>1132</v>
      </c>
      <c r="D41" s="403" t="s">
        <v>1086</v>
      </c>
      <c r="E41" s="432">
        <v>0</v>
      </c>
      <c r="F41" s="4">
        <v>0.28000000000000003</v>
      </c>
      <c r="G41" s="435">
        <v>1</v>
      </c>
    </row>
    <row r="42" spans="2:7" ht="38.25" x14ac:dyDescent="0.3">
      <c r="B42" s="421">
        <v>38</v>
      </c>
      <c r="C42" s="402" t="s">
        <v>1136</v>
      </c>
      <c r="D42" s="401" t="s">
        <v>1196</v>
      </c>
      <c r="E42" s="432">
        <v>33</v>
      </c>
      <c r="F42" s="4">
        <v>0.84</v>
      </c>
      <c r="G42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88155-CFF2-4E76-973A-86E855E170A9}">
  <sheetPr codeName="Sheet20"/>
  <dimension ref="B1:XEU37"/>
  <sheetViews>
    <sheetView zoomScaleNormal="100" workbookViewId="0">
      <selection activeCell="D39" sqref="D3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0.48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0.48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0.28000000000000003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0.52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0.63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0.33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0.17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0.37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0.78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0.78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0.7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0.7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0.3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0.18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0.62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0.92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0.53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0.53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1.58</v>
      </c>
      <c r="G27" s="358">
        <v>2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1.27</v>
      </c>
      <c r="G28" s="393">
        <v>2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0.72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0.72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0.65</v>
      </c>
      <c r="G31" s="358">
        <v>1</v>
      </c>
    </row>
    <row r="32" spans="2:7" x14ac:dyDescent="0.3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1.33</v>
      </c>
      <c r="G32" s="358">
        <v>2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0.95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1086</v>
      </c>
      <c r="E34" s="358">
        <v>29</v>
      </c>
      <c r="F34" s="358">
        <v>0.65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30</v>
      </c>
      <c r="F36" s="393">
        <v>1.67</v>
      </c>
      <c r="G36" s="393">
        <v>2</v>
      </c>
    </row>
    <row r="37" spans="2:7" x14ac:dyDescent="0.3">
      <c r="B37" s="393">
        <v>33</v>
      </c>
      <c r="C37" s="394" t="s">
        <v>1197</v>
      </c>
      <c r="D37" s="396" t="s">
        <v>1086</v>
      </c>
      <c r="E37" s="393" t="s">
        <v>1198</v>
      </c>
      <c r="F37" s="393">
        <v>0.67</v>
      </c>
      <c r="G37" s="393">
        <v>1</v>
      </c>
    </row>
  </sheetData>
  <mergeCells count="1">
    <mergeCell ref="B2:G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01837-BFCC-4F8D-BABD-EA71549DE98E}">
  <sheetPr codeName="Sheet21"/>
  <dimension ref="A6:XFC31"/>
  <sheetViews>
    <sheetView topLeftCell="A11" zoomScale="80" zoomScaleNormal="80" workbookViewId="0">
      <selection activeCell="X38" sqref="X38"/>
    </sheetView>
  </sheetViews>
  <sheetFormatPr defaultColWidth="10.28515625" defaultRowHeight="15.75" x14ac:dyDescent="0.25"/>
  <cols>
    <col min="1" max="1" width="10.28515625" style="404"/>
    <col min="2" max="22" width="12.28515625" style="404" customWidth="1"/>
    <col min="23" max="16383" width="10.28515625" style="404"/>
    <col min="16384" max="16384" width="10.28515625" style="397"/>
  </cols>
  <sheetData>
    <row r="6" spans="2:15" s="404" customFormat="1" x14ac:dyDescent="0.3">
      <c r="B6" s="405" t="s">
        <v>1190</v>
      </c>
      <c r="C6" s="405">
        <v>16</v>
      </c>
      <c r="D6" s="424" t="s">
        <v>1189</v>
      </c>
      <c r="E6" s="424" t="s">
        <v>1188</v>
      </c>
      <c r="F6" s="405" t="s">
        <v>1187</v>
      </c>
      <c r="G6" s="405" t="s">
        <v>1186</v>
      </c>
      <c r="H6" s="405">
        <v>6</v>
      </c>
      <c r="I6" s="405">
        <v>7</v>
      </c>
      <c r="J6" s="405" t="s">
        <v>1185</v>
      </c>
      <c r="K6" s="405">
        <v>28</v>
      </c>
      <c r="L6" s="405" t="s">
        <v>1184</v>
      </c>
      <c r="M6" s="405">
        <v>33</v>
      </c>
      <c r="N6" s="423" t="s">
        <v>1183</v>
      </c>
      <c r="O6" s="423" t="s">
        <v>1182</v>
      </c>
    </row>
    <row r="10" spans="2:15" s="404" customFormat="1" x14ac:dyDescent="0.3">
      <c r="B10" s="405" t="s">
        <v>1177</v>
      </c>
      <c r="C10" s="405">
        <v>17</v>
      </c>
      <c r="D10" s="405">
        <v>18</v>
      </c>
      <c r="E10" s="405">
        <v>19</v>
      </c>
      <c r="F10" s="405">
        <v>20</v>
      </c>
      <c r="G10" s="405">
        <v>21</v>
      </c>
      <c r="H10" s="424" t="s">
        <v>1181</v>
      </c>
      <c r="I10" s="405">
        <v>26</v>
      </c>
      <c r="J10" s="405">
        <v>27</v>
      </c>
      <c r="K10" s="424" t="s">
        <v>1180</v>
      </c>
      <c r="L10" s="405">
        <v>33</v>
      </c>
      <c r="M10" s="405">
        <v>34</v>
      </c>
      <c r="N10" s="423">
        <v>1</v>
      </c>
      <c r="O10" s="422" t="s">
        <v>1179</v>
      </c>
    </row>
    <row r="21" spans="2:27" x14ac:dyDescent="0.25">
      <c r="B21" s="442" t="s">
        <v>1171</v>
      </c>
      <c r="C21" s="442"/>
      <c r="D21" s="405" t="s">
        <v>1171</v>
      </c>
      <c r="E21" s="442" t="s">
        <v>1171</v>
      </c>
      <c r="F21" s="442"/>
      <c r="G21" s="444" t="s">
        <v>1171</v>
      </c>
      <c r="H21" s="444"/>
      <c r="I21" s="442" t="s">
        <v>1171</v>
      </c>
      <c r="J21" s="442"/>
      <c r="K21" s="444" t="s">
        <v>1171</v>
      </c>
      <c r="L21" s="444"/>
      <c r="M21" s="442" t="s">
        <v>1171</v>
      </c>
      <c r="N21" s="442"/>
      <c r="O21" s="405" t="s">
        <v>1171</v>
      </c>
      <c r="P21" s="442" t="s">
        <v>1171</v>
      </c>
      <c r="Q21" s="442"/>
      <c r="R21" s="444" t="s">
        <v>1171</v>
      </c>
      <c r="S21" s="444"/>
      <c r="T21" s="420" t="s">
        <v>1171</v>
      </c>
      <c r="U21" s="420"/>
      <c r="V21" s="405" t="s">
        <v>1171</v>
      </c>
      <c r="W21" s="442" t="s">
        <v>1171</v>
      </c>
      <c r="X21" s="442"/>
      <c r="Y21" s="449" t="s">
        <v>1171</v>
      </c>
      <c r="Z21" s="449"/>
      <c r="AA21" s="418"/>
    </row>
    <row r="22" spans="2:27" ht="31.5" x14ac:dyDescent="0.25">
      <c r="B22" s="408" t="s">
        <v>1172</v>
      </c>
      <c r="C22" s="408" t="s">
        <v>1172</v>
      </c>
      <c r="D22" s="405" t="s">
        <v>1122</v>
      </c>
      <c r="E22" s="420" t="s">
        <v>1174</v>
      </c>
      <c r="F22" s="420" t="s">
        <v>1174</v>
      </c>
      <c r="G22" s="407" t="s">
        <v>1172</v>
      </c>
      <c r="H22" s="407" t="s">
        <v>1172</v>
      </c>
      <c r="I22" s="408" t="s">
        <v>1172</v>
      </c>
      <c r="J22" s="408" t="s">
        <v>1172</v>
      </c>
      <c r="K22" s="407" t="s">
        <v>1172</v>
      </c>
      <c r="L22" s="407" t="s">
        <v>1172</v>
      </c>
      <c r="M22" s="442" t="s">
        <v>1174</v>
      </c>
      <c r="N22" s="442"/>
      <c r="O22" s="407" t="s">
        <v>1163</v>
      </c>
      <c r="P22" s="408" t="s">
        <v>1172</v>
      </c>
      <c r="Q22" s="408" t="s">
        <v>1172</v>
      </c>
      <c r="R22" s="445" t="s">
        <v>1142</v>
      </c>
      <c r="S22" s="445"/>
      <c r="T22" s="408" t="s">
        <v>1172</v>
      </c>
      <c r="U22" s="408" t="s">
        <v>1172</v>
      </c>
      <c r="V22" s="405" t="s">
        <v>1174</v>
      </c>
      <c r="W22" s="408" t="s">
        <v>1172</v>
      </c>
      <c r="X22" s="408" t="s">
        <v>1172</v>
      </c>
      <c r="Y22" s="419" t="s">
        <v>1172</v>
      </c>
      <c r="Z22" s="419" t="s">
        <v>1172</v>
      </c>
      <c r="AA22" s="418"/>
    </row>
    <row r="23" spans="2:27" s="409" customFormat="1" ht="114.75" x14ac:dyDescent="0.3">
      <c r="B23" s="411" t="s">
        <v>1156</v>
      </c>
      <c r="C23" s="411" t="s">
        <v>1178</v>
      </c>
      <c r="D23" s="410" t="s">
        <v>1154</v>
      </c>
      <c r="E23" s="411" t="s">
        <v>1158</v>
      </c>
      <c r="F23" s="411" t="s">
        <v>1157</v>
      </c>
      <c r="G23" s="410" t="s">
        <v>1160</v>
      </c>
      <c r="H23" s="410" t="s">
        <v>1159</v>
      </c>
      <c r="I23" s="411" t="s">
        <v>1148</v>
      </c>
      <c r="J23" s="411" t="s">
        <v>1147</v>
      </c>
      <c r="K23" s="410" t="s">
        <v>1146</v>
      </c>
      <c r="L23" s="410" t="s">
        <v>1145</v>
      </c>
      <c r="M23" s="446" t="s">
        <v>1165</v>
      </c>
      <c r="N23" s="446"/>
      <c r="O23" s="410" t="s">
        <v>1164</v>
      </c>
      <c r="P23" s="411" t="s">
        <v>1139</v>
      </c>
      <c r="Q23" s="411" t="s">
        <v>1138</v>
      </c>
      <c r="R23" s="448" t="s">
        <v>1143</v>
      </c>
      <c r="S23" s="448"/>
      <c r="T23" s="411" t="s">
        <v>1141</v>
      </c>
      <c r="U23" s="411" t="s">
        <v>1140</v>
      </c>
      <c r="V23" s="410" t="s">
        <v>1137</v>
      </c>
      <c r="W23" s="411" t="s">
        <v>1135</v>
      </c>
      <c r="X23" s="411" t="s">
        <v>1134</v>
      </c>
      <c r="Y23" s="417" t="s">
        <v>1133</v>
      </c>
      <c r="Z23" s="417" t="s">
        <v>1132</v>
      </c>
      <c r="AA23" s="416"/>
    </row>
    <row r="24" spans="2:27" s="409" customFormat="1" ht="9.9499999999999993" customHeight="1" x14ac:dyDescent="0.3">
      <c r="B24" s="411">
        <v>14</v>
      </c>
      <c r="C24" s="411">
        <v>15</v>
      </c>
      <c r="D24" s="410">
        <v>16</v>
      </c>
      <c r="E24" s="411">
        <v>12</v>
      </c>
      <c r="F24" s="411">
        <v>13</v>
      </c>
      <c r="G24" s="410">
        <v>10</v>
      </c>
      <c r="H24" s="410">
        <v>11</v>
      </c>
      <c r="I24" s="411">
        <v>22</v>
      </c>
      <c r="J24" s="411">
        <v>23</v>
      </c>
      <c r="K24" s="410">
        <v>24</v>
      </c>
      <c r="L24" s="410">
        <v>25</v>
      </c>
      <c r="M24" s="446">
        <v>6</v>
      </c>
      <c r="N24" s="446"/>
      <c r="O24" s="410">
        <v>7</v>
      </c>
      <c r="P24" s="411">
        <v>31</v>
      </c>
      <c r="Q24" s="411">
        <v>32</v>
      </c>
      <c r="R24" s="448">
        <v>28</v>
      </c>
      <c r="S24" s="448"/>
      <c r="T24" s="411">
        <v>29</v>
      </c>
      <c r="U24" s="411">
        <v>30</v>
      </c>
      <c r="V24" s="410">
        <v>33</v>
      </c>
      <c r="W24" s="412">
        <v>35</v>
      </c>
      <c r="X24" s="412">
        <v>36</v>
      </c>
      <c r="Y24" s="412">
        <v>37</v>
      </c>
      <c r="Z24" s="412">
        <v>38</v>
      </c>
      <c r="AA24" s="415"/>
    </row>
    <row r="25" spans="2:27" s="406" customFormat="1" x14ac:dyDescent="0.3">
      <c r="B25" s="413"/>
      <c r="C25" s="413"/>
      <c r="D25" s="413"/>
      <c r="E25" s="413"/>
      <c r="F25" s="413"/>
      <c r="G25" s="413"/>
      <c r="H25" s="413"/>
      <c r="I25" s="413"/>
      <c r="J25" s="413"/>
      <c r="K25" s="413"/>
      <c r="L25" s="413"/>
      <c r="M25" s="413"/>
      <c r="N25" s="413"/>
      <c r="O25" s="413"/>
      <c r="P25" s="413"/>
      <c r="Q25" s="413"/>
      <c r="R25" s="413"/>
      <c r="S25" s="413"/>
      <c r="T25" s="413"/>
      <c r="U25" s="413"/>
      <c r="V25" s="413"/>
      <c r="W25" s="414"/>
      <c r="X25" s="413"/>
      <c r="Y25" s="413"/>
      <c r="Z25" s="413"/>
    </row>
    <row r="26" spans="2:27" s="406" customFormat="1" x14ac:dyDescent="0.3">
      <c r="B26" s="413"/>
      <c r="C26" s="413"/>
      <c r="D26" s="413"/>
      <c r="E26" s="413"/>
      <c r="F26" s="413"/>
      <c r="G26" s="413"/>
      <c r="H26" s="413"/>
      <c r="I26" s="413"/>
      <c r="J26" s="413"/>
      <c r="K26" s="413"/>
      <c r="L26" s="413"/>
      <c r="M26" s="413"/>
      <c r="N26" s="413"/>
      <c r="O26" s="413"/>
      <c r="P26" s="413"/>
      <c r="Q26" s="413"/>
      <c r="R26" s="413"/>
      <c r="S26" s="413"/>
      <c r="T26" s="413"/>
      <c r="U26" s="413"/>
      <c r="V26" s="413"/>
      <c r="W26" s="414"/>
      <c r="X26" s="413"/>
      <c r="Y26" s="413"/>
      <c r="Z26" s="413"/>
    </row>
    <row r="27" spans="2:27" s="406" customFormat="1" x14ac:dyDescent="0.3">
      <c r="B27" s="413"/>
      <c r="C27" s="413"/>
      <c r="D27" s="413"/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S27" s="413"/>
      <c r="T27" s="413"/>
      <c r="U27" s="413"/>
      <c r="V27" s="413"/>
      <c r="W27" s="414"/>
      <c r="X27" s="413"/>
      <c r="Y27" s="413"/>
      <c r="Z27" s="413"/>
    </row>
    <row r="28" spans="2:27" s="409" customFormat="1" ht="9.9499999999999993" customHeight="1" x14ac:dyDescent="0.3">
      <c r="B28" s="446" t="s">
        <v>1177</v>
      </c>
      <c r="C28" s="446"/>
      <c r="D28" s="410">
        <v>17</v>
      </c>
      <c r="E28" s="446">
        <v>18</v>
      </c>
      <c r="F28" s="446"/>
      <c r="G28" s="448">
        <v>19</v>
      </c>
      <c r="H28" s="448"/>
      <c r="I28" s="446">
        <v>20</v>
      </c>
      <c r="J28" s="446"/>
      <c r="K28" s="448">
        <v>21</v>
      </c>
      <c r="L28" s="448"/>
      <c r="M28" s="411">
        <v>4</v>
      </c>
      <c r="N28" s="411">
        <v>5</v>
      </c>
      <c r="O28" s="410">
        <v>26</v>
      </c>
      <c r="P28" s="446">
        <v>27</v>
      </c>
      <c r="Q28" s="446"/>
      <c r="R28" s="410">
        <v>8</v>
      </c>
      <c r="S28" s="410">
        <v>9</v>
      </c>
      <c r="T28" s="446">
        <v>33</v>
      </c>
      <c r="U28" s="446"/>
      <c r="V28" s="410">
        <v>34</v>
      </c>
      <c r="W28" s="447">
        <v>1</v>
      </c>
      <c r="X28" s="447"/>
      <c r="Y28" s="412">
        <v>3</v>
      </c>
      <c r="Z28" s="412">
        <v>2</v>
      </c>
    </row>
    <row r="29" spans="2:27" s="409" customFormat="1" ht="102" x14ac:dyDescent="0.3">
      <c r="B29" s="446" t="s">
        <v>1176</v>
      </c>
      <c r="C29" s="446"/>
      <c r="D29" s="410" t="s">
        <v>1153</v>
      </c>
      <c r="E29" s="446" t="s">
        <v>1152</v>
      </c>
      <c r="F29" s="446"/>
      <c r="G29" s="448" t="s">
        <v>1151</v>
      </c>
      <c r="H29" s="448"/>
      <c r="I29" s="446" t="s">
        <v>1150</v>
      </c>
      <c r="J29" s="446"/>
      <c r="K29" s="448" t="s">
        <v>1149</v>
      </c>
      <c r="L29" s="448"/>
      <c r="M29" s="411" t="s">
        <v>1085</v>
      </c>
      <c r="N29" s="411" t="s">
        <v>1166</v>
      </c>
      <c r="O29" s="410" t="s">
        <v>1144</v>
      </c>
      <c r="P29" s="446" t="s">
        <v>1113</v>
      </c>
      <c r="Q29" s="446"/>
      <c r="R29" s="410" t="s">
        <v>1162</v>
      </c>
      <c r="S29" s="410" t="s">
        <v>1161</v>
      </c>
      <c r="T29" s="446" t="s">
        <v>1137</v>
      </c>
      <c r="U29" s="446"/>
      <c r="V29" s="410" t="s">
        <v>1175</v>
      </c>
      <c r="W29" s="446" t="s">
        <v>1170</v>
      </c>
      <c r="X29" s="446"/>
      <c r="Y29" s="410" t="s">
        <v>1167</v>
      </c>
      <c r="Z29" s="410" t="s">
        <v>1168</v>
      </c>
    </row>
    <row r="30" spans="2:27" s="406" customFormat="1" ht="31.5" x14ac:dyDescent="0.3">
      <c r="B30" s="443" t="s">
        <v>1172</v>
      </c>
      <c r="C30" s="443"/>
      <c r="D30" s="407" t="s">
        <v>1172</v>
      </c>
      <c r="E30" s="443" t="s">
        <v>1172</v>
      </c>
      <c r="F30" s="443"/>
      <c r="G30" s="445" t="s">
        <v>1174</v>
      </c>
      <c r="H30" s="445"/>
      <c r="I30" s="443" t="s">
        <v>1172</v>
      </c>
      <c r="J30" s="443"/>
      <c r="K30" s="445" t="s">
        <v>1174</v>
      </c>
      <c r="L30" s="445"/>
      <c r="M30" s="408" t="s">
        <v>1172</v>
      </c>
      <c r="N30" s="408" t="s">
        <v>1172</v>
      </c>
      <c r="O30" s="407" t="s">
        <v>1172</v>
      </c>
      <c r="P30" s="443" t="s">
        <v>1172</v>
      </c>
      <c r="Q30" s="443"/>
      <c r="R30" s="407" t="s">
        <v>1142</v>
      </c>
      <c r="S30" s="407" t="s">
        <v>1142</v>
      </c>
      <c r="T30" s="443" t="s">
        <v>1174</v>
      </c>
      <c r="U30" s="443"/>
      <c r="V30" s="407" t="s">
        <v>1173</v>
      </c>
      <c r="W30" s="443" t="s">
        <v>1169</v>
      </c>
      <c r="X30" s="443"/>
      <c r="Y30" s="407" t="s">
        <v>1172</v>
      </c>
      <c r="Z30" s="407" t="s">
        <v>1172</v>
      </c>
    </row>
    <row r="31" spans="2:27" s="404" customFormat="1" x14ac:dyDescent="0.3">
      <c r="B31" s="442"/>
      <c r="C31" s="442"/>
      <c r="D31" s="405" t="s">
        <v>1171</v>
      </c>
      <c r="E31" s="442" t="s">
        <v>1171</v>
      </c>
      <c r="F31" s="442"/>
      <c r="G31" s="444" t="s">
        <v>1171</v>
      </c>
      <c r="H31" s="444"/>
      <c r="I31" s="442" t="s">
        <v>1171</v>
      </c>
      <c r="J31" s="442"/>
      <c r="K31" s="444" t="s">
        <v>1171</v>
      </c>
      <c r="L31" s="444"/>
      <c r="M31" s="442" t="s">
        <v>1171</v>
      </c>
      <c r="N31" s="442"/>
      <c r="O31" s="405" t="s">
        <v>1171</v>
      </c>
      <c r="P31" s="442" t="s">
        <v>1171</v>
      </c>
      <c r="Q31" s="442"/>
      <c r="R31" s="405" t="s">
        <v>1171</v>
      </c>
      <c r="S31" s="405"/>
      <c r="T31" s="442" t="s">
        <v>1171</v>
      </c>
      <c r="U31" s="442"/>
      <c r="V31" s="405" t="s">
        <v>1171</v>
      </c>
      <c r="W31" s="442" t="s">
        <v>1171</v>
      </c>
      <c r="X31" s="442"/>
      <c r="Y31" s="405" t="s">
        <v>1171</v>
      </c>
      <c r="Z31" s="405"/>
    </row>
  </sheetData>
  <mergeCells count="49">
    <mergeCell ref="B21:C21"/>
    <mergeCell ref="E21:F21"/>
    <mergeCell ref="G21:H21"/>
    <mergeCell ref="I21:J21"/>
    <mergeCell ref="K21:L21"/>
    <mergeCell ref="M21:N21"/>
    <mergeCell ref="P21:Q21"/>
    <mergeCell ref="R21:S21"/>
    <mergeCell ref="W21:X21"/>
    <mergeCell ref="Y21:Z21"/>
    <mergeCell ref="K28:L28"/>
    <mergeCell ref="M22:N22"/>
    <mergeCell ref="R22:S22"/>
    <mergeCell ref="M23:N23"/>
    <mergeCell ref="R23:S23"/>
    <mergeCell ref="M24:N24"/>
    <mergeCell ref="R24:S24"/>
    <mergeCell ref="P30:Q30"/>
    <mergeCell ref="P28:Q28"/>
    <mergeCell ref="T28:U28"/>
    <mergeCell ref="W28:X28"/>
    <mergeCell ref="B29:C29"/>
    <mergeCell ref="E29:F29"/>
    <mergeCell ref="G29:H29"/>
    <mergeCell ref="I29:J29"/>
    <mergeCell ref="K29:L29"/>
    <mergeCell ref="P29:Q29"/>
    <mergeCell ref="T29:U29"/>
    <mergeCell ref="W29:X29"/>
    <mergeCell ref="B28:C28"/>
    <mergeCell ref="E28:F28"/>
    <mergeCell ref="G28:H28"/>
    <mergeCell ref="I28:J28"/>
    <mergeCell ref="W31:X31"/>
    <mergeCell ref="T30:U30"/>
    <mergeCell ref="W30:X30"/>
    <mergeCell ref="B31:C31"/>
    <mergeCell ref="E31:F31"/>
    <mergeCell ref="G31:H31"/>
    <mergeCell ref="I31:J31"/>
    <mergeCell ref="K31:L31"/>
    <mergeCell ref="M31:N31"/>
    <mergeCell ref="P31:Q31"/>
    <mergeCell ref="T31:U31"/>
    <mergeCell ref="B30:C30"/>
    <mergeCell ref="E30:F30"/>
    <mergeCell ref="G30:H30"/>
    <mergeCell ref="I30:J30"/>
    <mergeCell ref="K30:L30"/>
  </mergeCells>
  <pageMargins left="0.75" right="0.75" top="1" bottom="1" header="0.5" footer="0.5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1C90-012C-4DE4-B1F6-6D2BA503D103}">
  <sheetPr codeName="Sheet3"/>
  <dimension ref="B1:G69"/>
  <sheetViews>
    <sheetView showGridLines="0" workbookViewId="0">
      <selection activeCell="E76" sqref="E76"/>
    </sheetView>
  </sheetViews>
  <sheetFormatPr defaultColWidth="9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6384" width="9" style="1"/>
  </cols>
  <sheetData>
    <row r="1" spans="2:7" x14ac:dyDescent="0.3">
      <c r="B1" s="2" t="s">
        <v>0</v>
      </c>
      <c r="C1" s="2"/>
      <c r="D1" s="2"/>
    </row>
    <row r="4" spans="2:7" x14ac:dyDescent="0.3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3">
      <c r="B5" s="4">
        <v>1</v>
      </c>
      <c r="C5" s="5" t="s">
        <v>4</v>
      </c>
      <c r="D5" s="5" t="s">
        <v>5</v>
      </c>
      <c r="E5" s="4">
        <v>0</v>
      </c>
      <c r="F5" s="4">
        <v>0.315</v>
      </c>
      <c r="G5" s="4">
        <v>1</v>
      </c>
    </row>
    <row r="6" spans="2:7" x14ac:dyDescent="0.3">
      <c r="B6" s="4">
        <v>2</v>
      </c>
      <c r="C6" s="5" t="s">
        <v>6</v>
      </c>
      <c r="D6" s="5" t="s">
        <v>7</v>
      </c>
      <c r="E6" s="4">
        <v>1</v>
      </c>
      <c r="F6" s="4">
        <v>0.28299999999999997</v>
      </c>
      <c r="G6" s="4">
        <v>1</v>
      </c>
    </row>
    <row r="7" spans="2:7" x14ac:dyDescent="0.3">
      <c r="B7" s="4">
        <v>3</v>
      </c>
      <c r="C7" s="5" t="s">
        <v>8</v>
      </c>
      <c r="D7" s="5" t="s">
        <v>9</v>
      </c>
      <c r="E7" s="4">
        <v>2</v>
      </c>
      <c r="F7" s="4">
        <v>0.92900000000000005</v>
      </c>
      <c r="G7" s="4">
        <v>1</v>
      </c>
    </row>
    <row r="8" spans="2:7" x14ac:dyDescent="0.3">
      <c r="B8" s="4">
        <v>4</v>
      </c>
      <c r="C8" s="5" t="s">
        <v>10</v>
      </c>
      <c r="D8" s="5" t="s">
        <v>11</v>
      </c>
      <c r="E8" s="4">
        <v>0</v>
      </c>
      <c r="F8" s="4">
        <v>0.35199999999999998</v>
      </c>
      <c r="G8" s="4">
        <v>1</v>
      </c>
    </row>
    <row r="9" spans="2:7" x14ac:dyDescent="0.3">
      <c r="B9" s="4">
        <v>5</v>
      </c>
      <c r="C9" s="5" t="s">
        <v>12</v>
      </c>
      <c r="D9" s="5" t="s">
        <v>13</v>
      </c>
      <c r="E9" s="4">
        <v>4</v>
      </c>
      <c r="F9" s="4">
        <v>0.19800000000000001</v>
      </c>
      <c r="G9" s="4">
        <v>1</v>
      </c>
    </row>
    <row r="10" spans="2:7" x14ac:dyDescent="0.3">
      <c r="B10" s="4">
        <v>6</v>
      </c>
      <c r="C10" s="5" t="s">
        <v>14</v>
      </c>
      <c r="D10" s="5" t="s">
        <v>13</v>
      </c>
      <c r="E10" s="4">
        <v>0</v>
      </c>
      <c r="F10" s="4">
        <v>0.33400000000000002</v>
      </c>
      <c r="G10" s="4">
        <v>1</v>
      </c>
    </row>
    <row r="11" spans="2:7" x14ac:dyDescent="0.3">
      <c r="B11" s="4">
        <v>7</v>
      </c>
      <c r="C11" s="5" t="s">
        <v>15</v>
      </c>
      <c r="D11" s="5" t="s">
        <v>9</v>
      </c>
      <c r="E11" s="4" t="s">
        <v>83</v>
      </c>
      <c r="F11" s="4">
        <v>0.57699999999999996</v>
      </c>
      <c r="G11" s="4">
        <v>1</v>
      </c>
    </row>
    <row r="12" spans="2:7" x14ac:dyDescent="0.3">
      <c r="B12" s="4">
        <v>8</v>
      </c>
      <c r="C12" s="5" t="s">
        <v>16</v>
      </c>
      <c r="D12" s="5" t="s">
        <v>9</v>
      </c>
      <c r="E12" s="4">
        <v>7</v>
      </c>
      <c r="F12" s="4">
        <v>0.69099999999999995</v>
      </c>
      <c r="G12" s="4">
        <v>1</v>
      </c>
    </row>
    <row r="13" spans="2:7" x14ac:dyDescent="0.3">
      <c r="B13" s="4">
        <v>9</v>
      </c>
      <c r="C13" s="5" t="s">
        <v>17</v>
      </c>
      <c r="D13" s="5" t="s">
        <v>9</v>
      </c>
      <c r="E13" s="4" t="s">
        <v>84</v>
      </c>
      <c r="F13" s="4">
        <v>0.70099999999999996</v>
      </c>
      <c r="G13" s="4">
        <v>1</v>
      </c>
    </row>
    <row r="14" spans="2:7" x14ac:dyDescent="0.3">
      <c r="B14" s="4">
        <v>10</v>
      </c>
      <c r="C14" s="5" t="s">
        <v>18</v>
      </c>
      <c r="D14" s="5" t="s">
        <v>9</v>
      </c>
      <c r="E14" s="4">
        <v>9</v>
      </c>
      <c r="F14" s="4">
        <v>0.69499999999999995</v>
      </c>
      <c r="G14" s="4">
        <v>1</v>
      </c>
    </row>
    <row r="15" spans="2:7" x14ac:dyDescent="0.3">
      <c r="B15" s="4">
        <v>11</v>
      </c>
      <c r="C15" s="5" t="s">
        <v>19</v>
      </c>
      <c r="D15" s="5" t="s">
        <v>20</v>
      </c>
      <c r="E15" s="4">
        <v>10</v>
      </c>
      <c r="F15" s="4">
        <v>0.373</v>
      </c>
      <c r="G15" s="4">
        <v>1</v>
      </c>
    </row>
    <row r="16" spans="2:7" x14ac:dyDescent="0.3">
      <c r="B16" s="4">
        <v>12</v>
      </c>
      <c r="C16" s="5" t="s">
        <v>21</v>
      </c>
      <c r="D16" s="5" t="s">
        <v>20</v>
      </c>
      <c r="E16" s="4">
        <v>11</v>
      </c>
      <c r="F16" s="4">
        <v>0.214</v>
      </c>
      <c r="G16" s="4">
        <v>1</v>
      </c>
    </row>
    <row r="17" spans="2:7" x14ac:dyDescent="0.3">
      <c r="B17" s="4">
        <v>13</v>
      </c>
      <c r="C17" s="5" t="s">
        <v>22</v>
      </c>
      <c r="D17" s="5" t="s">
        <v>20</v>
      </c>
      <c r="E17" s="4">
        <v>0</v>
      </c>
      <c r="F17" s="4">
        <v>1.3560000000000001</v>
      </c>
      <c r="G17" s="4">
        <v>1</v>
      </c>
    </row>
    <row r="18" spans="2:7" x14ac:dyDescent="0.3">
      <c r="B18" s="4">
        <v>14</v>
      </c>
      <c r="C18" s="5" t="s">
        <v>23</v>
      </c>
      <c r="D18" s="5" t="s">
        <v>9</v>
      </c>
      <c r="E18" s="4">
        <v>0</v>
      </c>
      <c r="F18" s="4">
        <v>0.53400000000000003</v>
      </c>
      <c r="G18" s="4">
        <v>1</v>
      </c>
    </row>
    <row r="19" spans="2:7" x14ac:dyDescent="0.3">
      <c r="B19" s="4">
        <v>15</v>
      </c>
      <c r="C19" s="5" t="s">
        <v>24</v>
      </c>
      <c r="D19" s="5" t="s">
        <v>25</v>
      </c>
      <c r="E19" s="4" t="s">
        <v>85</v>
      </c>
      <c r="F19" s="4">
        <v>0.247</v>
      </c>
      <c r="G19" s="4">
        <v>1</v>
      </c>
    </row>
    <row r="20" spans="2:7" x14ac:dyDescent="0.3">
      <c r="B20" s="4">
        <v>16</v>
      </c>
      <c r="C20" s="5" t="s">
        <v>26</v>
      </c>
      <c r="D20" s="5" t="s">
        <v>13</v>
      </c>
      <c r="E20" s="4">
        <v>15</v>
      </c>
      <c r="F20" s="4">
        <v>0.92700000000000005</v>
      </c>
      <c r="G20" s="4">
        <v>1</v>
      </c>
    </row>
    <row r="21" spans="2:7" x14ac:dyDescent="0.3">
      <c r="B21" s="4">
        <v>17</v>
      </c>
      <c r="C21" s="5" t="s">
        <v>27</v>
      </c>
      <c r="D21" s="5" t="s">
        <v>20</v>
      </c>
      <c r="E21" s="4">
        <v>0</v>
      </c>
      <c r="F21" s="4">
        <v>0.216</v>
      </c>
      <c r="G21" s="4">
        <v>1</v>
      </c>
    </row>
    <row r="22" spans="2:7" x14ac:dyDescent="0.3">
      <c r="B22" s="4">
        <v>18</v>
      </c>
      <c r="C22" s="5" t="s">
        <v>28</v>
      </c>
      <c r="D22" s="5" t="s">
        <v>5</v>
      </c>
      <c r="E22" s="4">
        <v>17</v>
      </c>
      <c r="F22" s="4">
        <v>0.187</v>
      </c>
      <c r="G22" s="4">
        <v>1</v>
      </c>
    </row>
    <row r="23" spans="2:7" x14ac:dyDescent="0.3">
      <c r="B23" s="4">
        <v>19</v>
      </c>
      <c r="C23" s="5" t="s">
        <v>29</v>
      </c>
      <c r="D23" s="5" t="s">
        <v>9</v>
      </c>
      <c r="E23" s="4">
        <v>18</v>
      </c>
      <c r="F23" s="4">
        <v>0.33100000000000002</v>
      </c>
      <c r="G23" s="4">
        <v>1</v>
      </c>
    </row>
    <row r="24" spans="2:7" x14ac:dyDescent="0.3">
      <c r="B24" s="4">
        <v>20</v>
      </c>
      <c r="C24" s="5" t="s">
        <v>30</v>
      </c>
      <c r="D24" s="5" t="s">
        <v>31</v>
      </c>
      <c r="E24" s="4">
        <v>19</v>
      </c>
      <c r="F24" s="4">
        <v>0.24</v>
      </c>
      <c r="G24" s="4">
        <v>1</v>
      </c>
    </row>
    <row r="25" spans="2:7" x14ac:dyDescent="0.3">
      <c r="B25" s="4">
        <v>21</v>
      </c>
      <c r="C25" s="5" t="s">
        <v>32</v>
      </c>
      <c r="D25" s="5" t="s">
        <v>9</v>
      </c>
      <c r="E25" s="4">
        <v>20</v>
      </c>
      <c r="F25" s="4">
        <v>0.42099999999999999</v>
      </c>
      <c r="G25" s="4">
        <v>1</v>
      </c>
    </row>
    <row r="26" spans="2:7" x14ac:dyDescent="0.3">
      <c r="B26" s="4">
        <v>22</v>
      </c>
      <c r="C26" s="5" t="s">
        <v>33</v>
      </c>
      <c r="D26" s="5" t="s">
        <v>9</v>
      </c>
      <c r="E26" s="4" t="s">
        <v>86</v>
      </c>
      <c r="F26" s="4">
        <v>0.73</v>
      </c>
      <c r="G26" s="4">
        <v>1</v>
      </c>
    </row>
    <row r="27" spans="2:7" x14ac:dyDescent="0.3">
      <c r="B27" s="4">
        <v>23</v>
      </c>
      <c r="C27" s="5" t="s">
        <v>34</v>
      </c>
      <c r="D27" s="5" t="s">
        <v>9</v>
      </c>
      <c r="E27" s="4">
        <v>22</v>
      </c>
      <c r="F27" s="4">
        <v>0.58199999999999996</v>
      </c>
      <c r="G27" s="4">
        <v>1</v>
      </c>
    </row>
    <row r="28" spans="2:7" x14ac:dyDescent="0.3">
      <c r="B28" s="4">
        <v>24</v>
      </c>
      <c r="C28" s="5" t="s">
        <v>35</v>
      </c>
      <c r="D28" s="5" t="s">
        <v>20</v>
      </c>
      <c r="E28" s="4">
        <v>23</v>
      </c>
      <c r="F28" s="4">
        <v>0.35899999999999999</v>
      </c>
      <c r="G28" s="4">
        <v>1</v>
      </c>
    </row>
    <row r="29" spans="2:7" x14ac:dyDescent="0.3">
      <c r="B29" s="4">
        <v>25</v>
      </c>
      <c r="C29" s="5" t="s">
        <v>36</v>
      </c>
      <c r="D29" s="5" t="s">
        <v>20</v>
      </c>
      <c r="E29" s="4">
        <v>24</v>
      </c>
      <c r="F29" s="4">
        <v>0.432</v>
      </c>
      <c r="G29" s="4">
        <v>1</v>
      </c>
    </row>
    <row r="30" spans="2:7" x14ac:dyDescent="0.3">
      <c r="B30" s="4">
        <v>26</v>
      </c>
      <c r="C30" s="5" t="s">
        <v>37</v>
      </c>
      <c r="D30" s="5" t="s">
        <v>13</v>
      </c>
      <c r="E30" s="4" t="s">
        <v>87</v>
      </c>
      <c r="F30" s="4">
        <v>1.5309999999999999</v>
      </c>
      <c r="G30" s="4">
        <v>1</v>
      </c>
    </row>
    <row r="31" spans="2:7" x14ac:dyDescent="0.3">
      <c r="B31" s="4">
        <v>27</v>
      </c>
      <c r="C31" s="5" t="s">
        <v>38</v>
      </c>
      <c r="D31" s="5" t="s">
        <v>39</v>
      </c>
      <c r="E31" s="4">
        <v>26</v>
      </c>
      <c r="F31" s="4">
        <v>1.091</v>
      </c>
      <c r="G31" s="4">
        <v>1</v>
      </c>
    </row>
    <row r="32" spans="2:7" x14ac:dyDescent="0.3">
      <c r="B32" s="4">
        <v>28</v>
      </c>
      <c r="C32" s="5" t="s">
        <v>40</v>
      </c>
      <c r="D32" s="5" t="s">
        <v>20</v>
      </c>
      <c r="E32" s="4">
        <v>27</v>
      </c>
      <c r="F32" s="4">
        <v>0.36199999999999999</v>
      </c>
      <c r="G32" s="4">
        <v>1</v>
      </c>
    </row>
    <row r="33" spans="2:7" x14ac:dyDescent="0.3">
      <c r="B33" s="4">
        <v>29</v>
      </c>
      <c r="C33" s="5" t="s">
        <v>41</v>
      </c>
      <c r="D33" s="5" t="s">
        <v>20</v>
      </c>
      <c r="E33" s="4">
        <v>0</v>
      </c>
      <c r="F33" s="4">
        <v>0.23499999999999999</v>
      </c>
      <c r="G33" s="4">
        <v>1</v>
      </c>
    </row>
    <row r="34" spans="2:7" x14ac:dyDescent="0.3">
      <c r="B34" s="4">
        <v>30</v>
      </c>
      <c r="C34" s="5" t="s">
        <v>42</v>
      </c>
      <c r="D34" s="5" t="s">
        <v>9</v>
      </c>
      <c r="E34" s="4">
        <v>29</v>
      </c>
      <c r="F34" s="4">
        <v>1.163</v>
      </c>
      <c r="G34" s="4">
        <v>1</v>
      </c>
    </row>
    <row r="35" spans="2:7" x14ac:dyDescent="0.3">
      <c r="B35" s="4">
        <v>31</v>
      </c>
      <c r="C35" s="5" t="s">
        <v>43</v>
      </c>
      <c r="D35" s="5" t="s">
        <v>9</v>
      </c>
      <c r="E35" s="4">
        <v>30</v>
      </c>
      <c r="F35" s="4">
        <v>0.55800000000000005</v>
      </c>
      <c r="G35" s="4">
        <v>1</v>
      </c>
    </row>
    <row r="36" spans="2:7" x14ac:dyDescent="0.3">
      <c r="B36" s="4">
        <v>32</v>
      </c>
      <c r="C36" s="5" t="s">
        <v>44</v>
      </c>
      <c r="D36" s="5" t="s">
        <v>45</v>
      </c>
      <c r="E36" s="4">
        <v>31</v>
      </c>
      <c r="F36" s="4">
        <v>0.23799999999999999</v>
      </c>
      <c r="G36" s="4">
        <v>1</v>
      </c>
    </row>
    <row r="37" spans="2:7" x14ac:dyDescent="0.3">
      <c r="B37" s="4">
        <v>33</v>
      </c>
      <c r="C37" s="5" t="s">
        <v>46</v>
      </c>
      <c r="D37" s="5" t="s">
        <v>9</v>
      </c>
      <c r="E37" s="4">
        <v>32</v>
      </c>
      <c r="F37" s="4">
        <v>1.27</v>
      </c>
      <c r="G37" s="4">
        <v>1</v>
      </c>
    </row>
    <row r="38" spans="2:7" x14ac:dyDescent="0.3">
      <c r="B38" s="4">
        <v>34</v>
      </c>
      <c r="C38" s="5" t="s">
        <v>47</v>
      </c>
      <c r="D38" s="5" t="s">
        <v>48</v>
      </c>
      <c r="E38" s="4">
        <v>33</v>
      </c>
      <c r="F38" s="4">
        <v>1.6519999999999999</v>
      </c>
      <c r="G38" s="4">
        <v>1</v>
      </c>
    </row>
    <row r="39" spans="2:7" x14ac:dyDescent="0.3">
      <c r="B39" s="4">
        <v>35</v>
      </c>
      <c r="C39" s="5" t="s">
        <v>49</v>
      </c>
      <c r="D39" s="5" t="s">
        <v>9</v>
      </c>
      <c r="E39" s="4" t="s">
        <v>88</v>
      </c>
      <c r="F39" s="4">
        <v>1.2509999999999999</v>
      </c>
      <c r="G39" s="4">
        <v>1</v>
      </c>
    </row>
    <row r="40" spans="2:7" x14ac:dyDescent="0.3">
      <c r="B40" s="4">
        <v>36</v>
      </c>
      <c r="C40" s="5" t="s">
        <v>50</v>
      </c>
      <c r="D40" s="5" t="s">
        <v>20</v>
      </c>
      <c r="E40" s="4">
        <v>0</v>
      </c>
      <c r="F40" s="4">
        <v>0.40300000000000002</v>
      </c>
      <c r="G40" s="4">
        <v>1</v>
      </c>
    </row>
    <row r="41" spans="2:7" x14ac:dyDescent="0.3">
      <c r="B41" s="4">
        <v>37</v>
      </c>
      <c r="C41" s="5" t="s">
        <v>51</v>
      </c>
      <c r="D41" s="5" t="s">
        <v>5</v>
      </c>
      <c r="E41" s="4">
        <v>36</v>
      </c>
      <c r="F41" s="4">
        <v>0.20200000000000001</v>
      </c>
      <c r="G41" s="4">
        <v>1</v>
      </c>
    </row>
    <row r="42" spans="2:7" x14ac:dyDescent="0.3">
      <c r="B42" s="4">
        <v>38</v>
      </c>
      <c r="C42" s="5" t="s">
        <v>52</v>
      </c>
      <c r="D42" s="5" t="s">
        <v>9</v>
      </c>
      <c r="E42" s="4">
        <v>37</v>
      </c>
      <c r="F42" s="4">
        <v>0.221</v>
      </c>
      <c r="G42" s="4">
        <v>1</v>
      </c>
    </row>
    <row r="43" spans="2:7" x14ac:dyDescent="0.3">
      <c r="B43" s="4">
        <v>39</v>
      </c>
      <c r="C43" s="5" t="s">
        <v>53</v>
      </c>
      <c r="D43" s="5" t="s">
        <v>31</v>
      </c>
      <c r="E43" s="4">
        <v>38</v>
      </c>
      <c r="F43" s="4">
        <v>0.34899999999999998</v>
      </c>
      <c r="G43" s="4">
        <v>1</v>
      </c>
    </row>
    <row r="44" spans="2:7" x14ac:dyDescent="0.3">
      <c r="B44" s="4">
        <v>40</v>
      </c>
      <c r="C44" s="5" t="s">
        <v>54</v>
      </c>
      <c r="D44" s="5" t="s">
        <v>9</v>
      </c>
      <c r="E44" s="4">
        <v>39</v>
      </c>
      <c r="F44" s="4">
        <v>0.39200000000000002</v>
      </c>
      <c r="G44" s="4">
        <v>1</v>
      </c>
    </row>
    <row r="45" spans="2:7" x14ac:dyDescent="0.3">
      <c r="B45" s="4">
        <v>41</v>
      </c>
      <c r="C45" s="5" t="s">
        <v>55</v>
      </c>
      <c r="D45" s="5" t="s">
        <v>9</v>
      </c>
      <c r="E45" s="4" t="s">
        <v>89</v>
      </c>
      <c r="F45" s="4">
        <v>1.7210000000000001</v>
      </c>
      <c r="G45" s="4">
        <v>1</v>
      </c>
    </row>
    <row r="46" spans="2:7" x14ac:dyDescent="0.3">
      <c r="B46" s="4">
        <v>42</v>
      </c>
      <c r="C46" s="5" t="s">
        <v>56</v>
      </c>
      <c r="D46" s="5" t="s">
        <v>57</v>
      </c>
      <c r="E46" s="4">
        <v>41</v>
      </c>
      <c r="F46" s="4">
        <v>1.56</v>
      </c>
      <c r="G46" s="4">
        <v>1</v>
      </c>
    </row>
    <row r="47" spans="2:7" x14ac:dyDescent="0.3">
      <c r="B47" s="4">
        <v>43</v>
      </c>
      <c r="C47" s="5" t="s">
        <v>58</v>
      </c>
      <c r="D47" s="5" t="s">
        <v>13</v>
      </c>
      <c r="E47" s="4">
        <v>42</v>
      </c>
      <c r="F47" s="4">
        <v>0.65800000000000003</v>
      </c>
      <c r="G47" s="4">
        <v>1</v>
      </c>
    </row>
    <row r="48" spans="2:7" x14ac:dyDescent="0.3">
      <c r="B48" s="4">
        <v>44</v>
      </c>
      <c r="C48" s="5" t="s">
        <v>59</v>
      </c>
      <c r="D48" s="5" t="s">
        <v>60</v>
      </c>
      <c r="E48" s="4">
        <v>43</v>
      </c>
      <c r="F48" s="4">
        <v>0.57599999999999996</v>
      </c>
      <c r="G48" s="4">
        <v>1</v>
      </c>
    </row>
    <row r="49" spans="2:7" x14ac:dyDescent="0.3">
      <c r="B49" s="4">
        <v>45</v>
      </c>
      <c r="C49" s="5" t="s">
        <v>61</v>
      </c>
      <c r="D49" s="5" t="s">
        <v>20</v>
      </c>
      <c r="E49" s="4">
        <v>0</v>
      </c>
      <c r="F49" s="4">
        <v>7.5999999999999998E-2</v>
      </c>
      <c r="G49" s="4">
        <v>1</v>
      </c>
    </row>
    <row r="50" spans="2:7" x14ac:dyDescent="0.3">
      <c r="B50" s="4">
        <v>46</v>
      </c>
      <c r="C50" s="5" t="s">
        <v>62</v>
      </c>
      <c r="D50" s="5" t="s">
        <v>9</v>
      </c>
      <c r="E50" s="4">
        <v>45</v>
      </c>
      <c r="F50" s="4">
        <v>0.26</v>
      </c>
      <c r="G50" s="4">
        <v>1</v>
      </c>
    </row>
    <row r="51" spans="2:7" x14ac:dyDescent="0.3">
      <c r="B51" s="4">
        <v>47</v>
      </c>
      <c r="C51" s="5" t="s">
        <v>63</v>
      </c>
      <c r="D51" s="5" t="s">
        <v>31</v>
      </c>
      <c r="E51" s="4">
        <v>46</v>
      </c>
      <c r="F51" s="4">
        <v>0.151</v>
      </c>
      <c r="G51" s="4">
        <v>1</v>
      </c>
    </row>
    <row r="52" spans="2:7" x14ac:dyDescent="0.3">
      <c r="B52" s="4">
        <v>48</v>
      </c>
      <c r="C52" s="5" t="s">
        <v>64</v>
      </c>
      <c r="D52" s="5" t="s">
        <v>9</v>
      </c>
      <c r="E52" s="4">
        <v>47</v>
      </c>
      <c r="F52" s="4">
        <v>0.23300000000000001</v>
      </c>
      <c r="G52" s="4">
        <v>1</v>
      </c>
    </row>
    <row r="53" spans="2:7" x14ac:dyDescent="0.3">
      <c r="B53" s="4">
        <v>49</v>
      </c>
      <c r="C53" s="5" t="s">
        <v>65</v>
      </c>
      <c r="D53" s="5" t="s">
        <v>5</v>
      </c>
      <c r="E53" s="4">
        <v>48</v>
      </c>
      <c r="F53" s="4">
        <v>9.5000000000000001E-2</v>
      </c>
      <c r="G53" s="4">
        <v>1</v>
      </c>
    </row>
    <row r="54" spans="2:7" x14ac:dyDescent="0.3">
      <c r="B54" s="4">
        <v>50</v>
      </c>
      <c r="C54" s="5" t="s">
        <v>66</v>
      </c>
      <c r="D54" s="5" t="s">
        <v>67</v>
      </c>
      <c r="E54" s="4">
        <v>0</v>
      </c>
      <c r="F54" s="4">
        <v>0.14899999999999999</v>
      </c>
      <c r="G54" s="4">
        <v>1</v>
      </c>
    </row>
    <row r="55" spans="2:7" x14ac:dyDescent="0.3">
      <c r="B55" s="4">
        <v>51</v>
      </c>
      <c r="C55" s="5" t="s">
        <v>68</v>
      </c>
      <c r="D55" s="5" t="s">
        <v>9</v>
      </c>
      <c r="E55" s="4" t="s">
        <v>90</v>
      </c>
      <c r="F55" s="4">
        <v>1.819</v>
      </c>
      <c r="G55" s="4">
        <v>1</v>
      </c>
    </row>
    <row r="56" spans="2:7" x14ac:dyDescent="0.3">
      <c r="B56" s="4">
        <v>52</v>
      </c>
      <c r="C56" s="5" t="s">
        <v>69</v>
      </c>
      <c r="D56" s="5" t="s">
        <v>9</v>
      </c>
      <c r="E56" s="4">
        <v>51</v>
      </c>
      <c r="F56" s="4">
        <v>1.129</v>
      </c>
      <c r="G56" s="4">
        <v>1</v>
      </c>
    </row>
    <row r="57" spans="2:7" x14ac:dyDescent="0.3">
      <c r="B57" s="4">
        <v>53</v>
      </c>
      <c r="C57" s="5" t="s">
        <v>70</v>
      </c>
      <c r="D57" s="5" t="s">
        <v>9</v>
      </c>
      <c r="E57" s="4">
        <v>52</v>
      </c>
      <c r="F57" s="4">
        <v>1.474</v>
      </c>
      <c r="G57" s="4">
        <v>1</v>
      </c>
    </row>
    <row r="58" spans="2:7" x14ac:dyDescent="0.3">
      <c r="B58" s="4">
        <v>54</v>
      </c>
      <c r="C58" s="5" t="s">
        <v>71</v>
      </c>
      <c r="D58" s="5" t="s">
        <v>9</v>
      </c>
      <c r="E58" s="4">
        <v>53</v>
      </c>
      <c r="F58" s="4">
        <v>1.6850000000000001</v>
      </c>
      <c r="G58" s="4">
        <v>1</v>
      </c>
    </row>
    <row r="59" spans="2:7" x14ac:dyDescent="0.3">
      <c r="B59" s="4">
        <v>55</v>
      </c>
      <c r="C59" s="5" t="s">
        <v>72</v>
      </c>
      <c r="D59" s="5" t="s">
        <v>13</v>
      </c>
      <c r="E59" s="4">
        <v>54</v>
      </c>
      <c r="F59" s="4">
        <v>0.54800000000000004</v>
      </c>
      <c r="G59" s="4">
        <v>1</v>
      </c>
    </row>
    <row r="60" spans="2:7" x14ac:dyDescent="0.3">
      <c r="B60" s="4">
        <v>56</v>
      </c>
      <c r="C60" s="5" t="s">
        <v>73</v>
      </c>
      <c r="D60" s="5" t="s">
        <v>20</v>
      </c>
      <c r="E60" s="4">
        <v>55</v>
      </c>
      <c r="F60" s="4">
        <v>0.35499999999999998</v>
      </c>
      <c r="G60" s="4">
        <v>1</v>
      </c>
    </row>
    <row r="61" spans="2:7" x14ac:dyDescent="0.3">
      <c r="B61" s="4">
        <v>57</v>
      </c>
      <c r="C61" s="5" t="s">
        <v>74</v>
      </c>
      <c r="D61" s="5" t="s">
        <v>39</v>
      </c>
      <c r="E61" s="4">
        <v>56</v>
      </c>
      <c r="F61" s="4">
        <v>0.67100000000000004</v>
      </c>
      <c r="G61" s="4">
        <v>1</v>
      </c>
    </row>
    <row r="62" spans="2:7" x14ac:dyDescent="0.3">
      <c r="B62" s="4">
        <v>58</v>
      </c>
      <c r="C62" s="5" t="s">
        <v>75</v>
      </c>
      <c r="D62" s="5" t="s">
        <v>20</v>
      </c>
      <c r="E62" s="4">
        <v>0</v>
      </c>
      <c r="F62" s="4">
        <v>0.14199999999999999</v>
      </c>
      <c r="G62" s="4">
        <v>1</v>
      </c>
    </row>
    <row r="63" spans="2:7" x14ac:dyDescent="0.3">
      <c r="B63" s="4">
        <v>59</v>
      </c>
      <c r="C63" s="5" t="s">
        <v>76</v>
      </c>
      <c r="D63" s="5" t="s">
        <v>9</v>
      </c>
      <c r="E63" s="4" t="s">
        <v>91</v>
      </c>
      <c r="F63" s="4">
        <v>1.252</v>
      </c>
      <c r="G63" s="4">
        <v>1</v>
      </c>
    </row>
    <row r="64" spans="2:7" x14ac:dyDescent="0.3">
      <c r="B64" s="4">
        <v>60</v>
      </c>
      <c r="C64" s="5" t="s">
        <v>77</v>
      </c>
      <c r="D64" s="5" t="s">
        <v>5</v>
      </c>
      <c r="E64" s="4">
        <v>59</v>
      </c>
      <c r="F64" s="4">
        <v>0.52300000000000002</v>
      </c>
      <c r="G64" s="4">
        <v>1</v>
      </c>
    </row>
    <row r="65" spans="2:7" x14ac:dyDescent="0.3">
      <c r="B65" s="4">
        <v>61</v>
      </c>
      <c r="C65" s="5" t="s">
        <v>78</v>
      </c>
      <c r="D65" s="5" t="s">
        <v>9</v>
      </c>
      <c r="E65" s="4">
        <v>60</v>
      </c>
      <c r="F65" s="4">
        <v>0.16400000000000001</v>
      </c>
      <c r="G65" s="4">
        <v>1</v>
      </c>
    </row>
    <row r="66" spans="2:7" x14ac:dyDescent="0.3">
      <c r="B66" s="4">
        <v>62</v>
      </c>
      <c r="C66" s="5" t="s">
        <v>79</v>
      </c>
      <c r="D66" s="5" t="s">
        <v>9</v>
      </c>
      <c r="E66" s="4" t="s">
        <v>92</v>
      </c>
      <c r="F66" s="4">
        <v>0.68799999999999994</v>
      </c>
      <c r="G66" s="4">
        <v>1</v>
      </c>
    </row>
    <row r="67" spans="2:7" x14ac:dyDescent="0.3">
      <c r="B67" s="4">
        <v>63</v>
      </c>
      <c r="C67" s="5" t="s">
        <v>80</v>
      </c>
      <c r="D67" s="5" t="s">
        <v>20</v>
      </c>
      <c r="E67" s="4">
        <v>62</v>
      </c>
      <c r="F67" s="4">
        <v>0.88400000000000001</v>
      </c>
      <c r="G67" s="4">
        <v>1</v>
      </c>
    </row>
    <row r="68" spans="2:7" x14ac:dyDescent="0.3">
      <c r="B68" s="4">
        <v>64</v>
      </c>
      <c r="C68" s="5" t="s">
        <v>81</v>
      </c>
      <c r="D68" s="5" t="s">
        <v>9</v>
      </c>
      <c r="E68" s="4">
        <v>63</v>
      </c>
      <c r="F68" s="4">
        <v>0.91300000000000003</v>
      </c>
      <c r="G68" s="4">
        <v>1</v>
      </c>
    </row>
    <row r="69" spans="2:7" x14ac:dyDescent="0.3">
      <c r="B69" s="4">
        <v>65</v>
      </c>
      <c r="C69" s="5" t="s">
        <v>82</v>
      </c>
      <c r="D69" s="5" t="s">
        <v>57</v>
      </c>
      <c r="E69" s="4">
        <v>64</v>
      </c>
      <c r="F69" s="4">
        <v>0.89500000000000002</v>
      </c>
      <c r="G69" s="4">
        <v>1</v>
      </c>
    </row>
  </sheetData>
  <autoFilter ref="B4:G69" xr:uid="{27C4F486-F05D-4A5B-8C6B-9D3ACE1165DB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8452-F9A6-4E9A-B69F-C6F98DE0ED03}">
  <sheetPr codeName="Sheet13"/>
  <dimension ref="A1:J58"/>
  <sheetViews>
    <sheetView showGridLines="0" topLeftCell="A34" workbookViewId="0">
      <selection activeCell="F62" sqref="F62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3" spans="2:7" x14ac:dyDescent="0.3">
      <c r="F3" s="7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 x14ac:dyDescent="0.3">
      <c r="B6" s="358">
        <v>2</v>
      </c>
      <c r="C6" s="375" t="s">
        <v>6</v>
      </c>
      <c r="D6" s="375" t="s">
        <v>7</v>
      </c>
      <c r="E6" s="358" t="s">
        <v>971</v>
      </c>
      <c r="F6" s="358">
        <v>0.28299999999999997</v>
      </c>
      <c r="G6" s="358">
        <v>1</v>
      </c>
    </row>
    <row r="7" spans="2:7" ht="31.5" x14ac:dyDescent="0.3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 x14ac:dyDescent="0.3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 x14ac:dyDescent="0.3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 x14ac:dyDescent="0.3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 x14ac:dyDescent="0.3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 x14ac:dyDescent="0.3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 x14ac:dyDescent="0.3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 x14ac:dyDescent="0.3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 x14ac:dyDescent="0.3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 x14ac:dyDescent="0.3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 x14ac:dyDescent="0.3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 x14ac:dyDescent="0.3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 x14ac:dyDescent="0.3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 x14ac:dyDescent="0.3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 x14ac:dyDescent="0.3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 x14ac:dyDescent="0.3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 x14ac:dyDescent="0.3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 x14ac:dyDescent="0.3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 x14ac:dyDescent="0.3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 x14ac:dyDescent="0.3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 x14ac:dyDescent="0.3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 x14ac:dyDescent="0.3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 x14ac:dyDescent="0.3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 x14ac:dyDescent="0.3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 x14ac:dyDescent="0.3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 x14ac:dyDescent="0.3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 x14ac:dyDescent="0.3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 x14ac:dyDescent="0.3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 x14ac:dyDescent="0.3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 x14ac:dyDescent="0.3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 x14ac:dyDescent="0.3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 x14ac:dyDescent="0.3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 x14ac:dyDescent="0.3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 x14ac:dyDescent="0.3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 x14ac:dyDescent="0.3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 x14ac:dyDescent="0.3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 x14ac:dyDescent="0.3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 x14ac:dyDescent="0.3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 x14ac:dyDescent="0.3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 x14ac:dyDescent="0.3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 x14ac:dyDescent="0.3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 x14ac:dyDescent="0.3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 x14ac:dyDescent="0.3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 x14ac:dyDescent="0.3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 x14ac:dyDescent="0.3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 x14ac:dyDescent="0.3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 x14ac:dyDescent="0.3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 x14ac:dyDescent="0.3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 x14ac:dyDescent="0.3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 x14ac:dyDescent="0.3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 x14ac:dyDescent="0.3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 x14ac:dyDescent="0.3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5198-2E7B-4E57-95DD-8D8FA0328A40}">
  <sheetPr codeName="Sheet4"/>
  <dimension ref="A1:J17"/>
  <sheetViews>
    <sheetView showGridLines="0" workbookViewId="0">
      <selection activeCell="F25" sqref="F25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0" width="9" style="1" customWidth="1"/>
    <col min="11" max="16384" width="9" style="1" hidden="1"/>
  </cols>
  <sheetData>
    <row r="1" spans="2:7" x14ac:dyDescent="0.3">
      <c r="B1" s="2" t="s">
        <v>0</v>
      </c>
      <c r="C1" s="2"/>
      <c r="D1" s="2"/>
    </row>
    <row r="4" spans="2:7" x14ac:dyDescent="0.3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3">
      <c r="B5" s="4">
        <v>1</v>
      </c>
      <c r="C5" s="5" t="s">
        <v>4</v>
      </c>
      <c r="D5" s="5" t="s">
        <v>5</v>
      </c>
      <c r="E5" s="4">
        <v>0</v>
      </c>
      <c r="F5" s="6">
        <v>20</v>
      </c>
      <c r="G5" s="4">
        <v>1</v>
      </c>
    </row>
    <row r="6" spans="2:7" x14ac:dyDescent="0.3">
      <c r="B6" s="4">
        <v>2</v>
      </c>
      <c r="C6" s="5" t="s">
        <v>6</v>
      </c>
      <c r="D6" s="5" t="s">
        <v>7</v>
      </c>
      <c r="E6" s="4">
        <v>1</v>
      </c>
      <c r="F6" s="6">
        <v>20</v>
      </c>
      <c r="G6" s="4">
        <v>1</v>
      </c>
    </row>
    <row r="7" spans="2:7" x14ac:dyDescent="0.3">
      <c r="B7" s="4">
        <v>3</v>
      </c>
      <c r="C7" s="5" t="s">
        <v>8</v>
      </c>
      <c r="D7" s="5" t="s">
        <v>9</v>
      </c>
      <c r="E7" s="4">
        <v>2</v>
      </c>
      <c r="F7" s="6">
        <v>45</v>
      </c>
      <c r="G7" s="4">
        <v>1</v>
      </c>
    </row>
    <row r="8" spans="2:7" x14ac:dyDescent="0.3">
      <c r="B8" s="4">
        <v>4</v>
      </c>
      <c r="C8" s="5" t="s">
        <v>10</v>
      </c>
      <c r="D8" s="5" t="s">
        <v>11</v>
      </c>
      <c r="E8" s="4">
        <v>3</v>
      </c>
      <c r="F8" s="6">
        <v>10</v>
      </c>
      <c r="G8" s="4">
        <v>1</v>
      </c>
    </row>
    <row r="9" spans="2:7" x14ac:dyDescent="0.3">
      <c r="B9" s="4">
        <v>5</v>
      </c>
      <c r="C9" s="5" t="s">
        <v>12</v>
      </c>
      <c r="D9" s="5" t="s">
        <v>13</v>
      </c>
      <c r="E9" s="4">
        <v>2</v>
      </c>
      <c r="F9" s="6">
        <v>7</v>
      </c>
      <c r="G9" s="4">
        <v>1</v>
      </c>
    </row>
    <row r="10" spans="2:7" x14ac:dyDescent="0.3">
      <c r="B10" s="4">
        <v>6</v>
      </c>
      <c r="C10" s="5" t="s">
        <v>14</v>
      </c>
      <c r="D10" s="5" t="s">
        <v>13</v>
      </c>
      <c r="E10" s="4">
        <v>5</v>
      </c>
      <c r="F10" s="6">
        <v>5</v>
      </c>
      <c r="G10" s="4">
        <v>1</v>
      </c>
    </row>
    <row r="11" spans="2:7" x14ac:dyDescent="0.3">
      <c r="B11" s="4">
        <v>7</v>
      </c>
      <c r="C11" s="5" t="s">
        <v>15</v>
      </c>
      <c r="D11" s="5" t="s">
        <v>9</v>
      </c>
      <c r="E11" s="4">
        <v>5</v>
      </c>
      <c r="F11" s="6">
        <v>8</v>
      </c>
      <c r="G11" s="4">
        <v>1</v>
      </c>
    </row>
    <row r="12" spans="2:7" x14ac:dyDescent="0.3">
      <c r="B12" s="4">
        <v>8</v>
      </c>
      <c r="C12" s="5" t="s">
        <v>16</v>
      </c>
      <c r="D12" s="5" t="s">
        <v>9</v>
      </c>
      <c r="E12" s="4">
        <v>5</v>
      </c>
      <c r="F12" s="6">
        <v>20</v>
      </c>
      <c r="G12" s="4">
        <v>1</v>
      </c>
    </row>
    <row r="13" spans="2:7" x14ac:dyDescent="0.3">
      <c r="B13" s="4">
        <v>9</v>
      </c>
      <c r="C13" s="5" t="s">
        <v>17</v>
      </c>
      <c r="D13" s="5" t="s">
        <v>9</v>
      </c>
      <c r="E13" s="4">
        <v>5</v>
      </c>
      <c r="F13" s="6">
        <v>15</v>
      </c>
      <c r="G13" s="4">
        <v>1</v>
      </c>
    </row>
    <row r="14" spans="2:7" x14ac:dyDescent="0.3">
      <c r="B14" s="4">
        <v>10</v>
      </c>
      <c r="C14" s="5" t="s">
        <v>18</v>
      </c>
      <c r="D14" s="5" t="s">
        <v>9</v>
      </c>
      <c r="E14" s="4">
        <v>5</v>
      </c>
      <c r="F14" s="6">
        <v>5</v>
      </c>
      <c r="G14" s="4">
        <v>1</v>
      </c>
    </row>
    <row r="15" spans="2:7" x14ac:dyDescent="0.3">
      <c r="B15" s="4">
        <v>11</v>
      </c>
      <c r="C15" s="5" t="s">
        <v>19</v>
      </c>
      <c r="D15" s="5" t="s">
        <v>20</v>
      </c>
      <c r="E15" s="4" t="s">
        <v>97</v>
      </c>
      <c r="F15" s="6">
        <v>4</v>
      </c>
      <c r="G15" s="4">
        <v>1</v>
      </c>
    </row>
    <row r="16" spans="2:7" x14ac:dyDescent="0.3">
      <c r="B16" s="4">
        <v>12</v>
      </c>
      <c r="C16" s="5" t="s">
        <v>21</v>
      </c>
      <c r="D16" s="5" t="s">
        <v>20</v>
      </c>
      <c r="E16" s="4" t="s">
        <v>98</v>
      </c>
      <c r="F16" s="6">
        <v>45</v>
      </c>
      <c r="G16" s="4">
        <v>1</v>
      </c>
    </row>
    <row r="17" spans="2:7" x14ac:dyDescent="0.3">
      <c r="B17" s="4">
        <v>13</v>
      </c>
      <c r="C17" s="5" t="s">
        <v>96</v>
      </c>
      <c r="D17" s="5" t="s">
        <v>20</v>
      </c>
      <c r="E17" s="4">
        <v>12</v>
      </c>
      <c r="F17" s="6">
        <v>6</v>
      </c>
      <c r="G17" s="4">
        <v>1</v>
      </c>
    </row>
  </sheetData>
  <autoFilter ref="B4:G16" xr:uid="{27C4F486-F05D-4A5B-8C6B-9D3ACE1165DB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53F-3558-40FC-B5F1-BD9EB6661BD8}">
  <sheetPr codeName="Sheet6" filterMode="1"/>
  <dimension ref="A1:M338"/>
  <sheetViews>
    <sheetView topLeftCell="A256" workbookViewId="0">
      <selection activeCell="R277" sqref="R277"/>
    </sheetView>
  </sheetViews>
  <sheetFormatPr defaultRowHeight="16.5" x14ac:dyDescent="0.3"/>
  <sheetData>
    <row r="1" spans="1:13" x14ac:dyDescent="0.3">
      <c r="A1" s="13" t="s">
        <v>113</v>
      </c>
      <c r="B1" s="14" t="s">
        <v>114</v>
      </c>
      <c r="C1" s="15" t="s">
        <v>115</v>
      </c>
      <c r="D1" s="15" t="s">
        <v>116</v>
      </c>
      <c r="E1" s="16" t="s">
        <v>117</v>
      </c>
      <c r="F1" s="349"/>
      <c r="G1" s="349"/>
      <c r="H1" s="349"/>
      <c r="I1" s="14" t="s">
        <v>118</v>
      </c>
      <c r="J1" s="15" t="s">
        <v>119</v>
      </c>
      <c r="K1" s="15" t="s">
        <v>120</v>
      </c>
      <c r="L1" s="15" t="s">
        <v>119</v>
      </c>
      <c r="M1" s="16" t="s">
        <v>121</v>
      </c>
    </row>
    <row r="2" spans="1:13" hidden="1" x14ac:dyDescent="0.3">
      <c r="A2" s="17" t="s">
        <v>122</v>
      </c>
      <c r="B2" s="18" t="s">
        <v>123</v>
      </c>
      <c r="C2" s="19">
        <v>0</v>
      </c>
      <c r="D2" s="19">
        <v>0.28000000000000003</v>
      </c>
      <c r="E2" s="20">
        <v>0.73</v>
      </c>
      <c r="F2" s="350"/>
      <c r="G2" s="350"/>
      <c r="H2" s="350"/>
      <c r="I2" s="21" t="s">
        <v>124</v>
      </c>
      <c r="J2" s="19">
        <v>1</v>
      </c>
      <c r="K2" s="19">
        <v>0.37</v>
      </c>
      <c r="L2" s="19">
        <v>1</v>
      </c>
      <c r="M2" s="20">
        <v>0.73</v>
      </c>
    </row>
    <row r="3" spans="1:13" x14ac:dyDescent="0.3">
      <c r="A3" s="22" t="s">
        <v>125</v>
      </c>
      <c r="B3" s="18" t="s">
        <v>126</v>
      </c>
      <c r="C3" s="19">
        <v>0.69</v>
      </c>
      <c r="D3" s="19">
        <v>0.75</v>
      </c>
      <c r="E3" s="20">
        <v>0.1</v>
      </c>
      <c r="F3" s="350"/>
      <c r="G3" s="350"/>
      <c r="H3" s="350"/>
      <c r="I3" s="21" t="s">
        <v>127</v>
      </c>
      <c r="J3" s="19">
        <v>0.76</v>
      </c>
      <c r="K3" s="19">
        <v>0.43</v>
      </c>
      <c r="L3" s="19">
        <v>0.76</v>
      </c>
      <c r="M3" s="20">
        <v>0.43</v>
      </c>
    </row>
    <row r="4" spans="1:13" hidden="1" x14ac:dyDescent="0.3">
      <c r="A4" s="23" t="s">
        <v>128</v>
      </c>
      <c r="B4" s="18" t="s">
        <v>129</v>
      </c>
      <c r="C4" s="19">
        <v>0.49</v>
      </c>
      <c r="D4" s="19">
        <v>0.73</v>
      </c>
      <c r="E4" s="20">
        <v>0.91</v>
      </c>
      <c r="F4" s="350"/>
      <c r="G4" s="350"/>
      <c r="H4" s="350"/>
      <c r="I4" s="21" t="s">
        <v>130</v>
      </c>
      <c r="J4" s="19">
        <v>0.7</v>
      </c>
      <c r="K4" s="19">
        <v>0.7</v>
      </c>
      <c r="L4" s="19">
        <v>0.47</v>
      </c>
      <c r="M4" s="20">
        <v>0.91</v>
      </c>
    </row>
    <row r="5" spans="1:13" hidden="1" x14ac:dyDescent="0.3">
      <c r="A5" s="24" t="s">
        <v>131</v>
      </c>
      <c r="B5" s="18" t="s">
        <v>132</v>
      </c>
      <c r="C5" s="19">
        <v>0.75</v>
      </c>
      <c r="D5" s="19">
        <v>0.91</v>
      </c>
      <c r="E5" s="20">
        <v>0.84</v>
      </c>
      <c r="F5" s="350"/>
      <c r="G5" s="350"/>
      <c r="H5" s="350"/>
      <c r="I5" s="21" t="s">
        <v>133</v>
      </c>
      <c r="J5" s="19">
        <v>0.47</v>
      </c>
      <c r="K5" s="19">
        <v>0.83</v>
      </c>
      <c r="L5" s="25">
        <v>0.17199999999999999</v>
      </c>
      <c r="M5" s="20">
        <v>0.91</v>
      </c>
    </row>
    <row r="6" spans="1:13" x14ac:dyDescent="0.3">
      <c r="A6" s="26" t="s">
        <v>134</v>
      </c>
      <c r="B6" s="18" t="s">
        <v>135</v>
      </c>
      <c r="C6" s="19">
        <v>0.7</v>
      </c>
      <c r="D6" s="19">
        <v>0.52</v>
      </c>
      <c r="E6" s="20">
        <v>0.75</v>
      </c>
      <c r="F6" s="350"/>
      <c r="G6" s="350"/>
      <c r="H6" s="350"/>
      <c r="I6" s="21" t="s">
        <v>136</v>
      </c>
      <c r="J6" s="19">
        <v>0.31</v>
      </c>
      <c r="K6" s="19">
        <v>0.63</v>
      </c>
      <c r="L6" s="19">
        <v>0.31</v>
      </c>
      <c r="M6" s="20">
        <v>0.75</v>
      </c>
    </row>
    <row r="7" spans="1:13" hidden="1" x14ac:dyDescent="0.3">
      <c r="A7" s="27" t="s">
        <v>137</v>
      </c>
      <c r="B7" s="18" t="s">
        <v>138</v>
      </c>
      <c r="C7" s="19">
        <v>0.45</v>
      </c>
      <c r="D7" s="19">
        <v>0.63</v>
      </c>
      <c r="E7" s="20">
        <v>0.76</v>
      </c>
      <c r="F7" s="350"/>
      <c r="G7" s="350"/>
      <c r="H7" s="350"/>
      <c r="I7" s="21" t="s">
        <v>139</v>
      </c>
      <c r="J7" s="19">
        <v>0.39</v>
      </c>
      <c r="K7" s="19">
        <v>0.6</v>
      </c>
      <c r="L7" s="19">
        <v>0.41</v>
      </c>
      <c r="M7" s="20">
        <v>0.76</v>
      </c>
    </row>
    <row r="8" spans="1:13" hidden="1" x14ac:dyDescent="0.3">
      <c r="A8" s="28" t="s">
        <v>140</v>
      </c>
      <c r="B8" s="18" t="s">
        <v>141</v>
      </c>
      <c r="C8" s="19">
        <v>0.93</v>
      </c>
      <c r="D8" s="19">
        <v>0.92</v>
      </c>
      <c r="E8" s="20">
        <v>0.88</v>
      </c>
      <c r="F8" s="350"/>
      <c r="G8" s="350"/>
      <c r="H8" s="350"/>
      <c r="I8" s="21" t="s">
        <v>142</v>
      </c>
      <c r="J8" s="19">
        <v>0.27</v>
      </c>
      <c r="K8" s="19">
        <v>0.9</v>
      </c>
      <c r="L8" s="19">
        <v>0.06</v>
      </c>
      <c r="M8" s="20">
        <v>0.93</v>
      </c>
    </row>
    <row r="9" spans="1:13" hidden="1" x14ac:dyDescent="0.3">
      <c r="A9" s="29" t="s">
        <v>143</v>
      </c>
      <c r="B9" s="18" t="s">
        <v>144</v>
      </c>
      <c r="C9" s="19">
        <v>0.94</v>
      </c>
      <c r="D9" s="19">
        <v>0.97</v>
      </c>
      <c r="E9" s="20">
        <v>1</v>
      </c>
      <c r="F9" s="350"/>
      <c r="G9" s="350"/>
      <c r="H9" s="350"/>
      <c r="I9" s="21" t="s">
        <v>145</v>
      </c>
      <c r="J9" s="19">
        <v>1</v>
      </c>
      <c r="K9" s="19">
        <v>0.97</v>
      </c>
      <c r="L9" s="19">
        <v>0.06</v>
      </c>
      <c r="M9" s="20">
        <v>1</v>
      </c>
    </row>
    <row r="10" spans="1:13" hidden="1" x14ac:dyDescent="0.3">
      <c r="A10" s="30" t="s">
        <v>146</v>
      </c>
      <c r="B10" s="18" t="s">
        <v>147</v>
      </c>
      <c r="C10" s="19">
        <v>0.77</v>
      </c>
      <c r="D10" s="19">
        <v>0.38</v>
      </c>
      <c r="E10" s="20">
        <v>0.06</v>
      </c>
      <c r="F10" s="350"/>
      <c r="G10" s="350"/>
      <c r="H10" s="350"/>
      <c r="I10" s="21" t="s">
        <v>148</v>
      </c>
      <c r="J10" s="19">
        <v>0.85</v>
      </c>
      <c r="K10" s="19">
        <v>0.42</v>
      </c>
      <c r="L10" s="19">
        <v>0.92</v>
      </c>
      <c r="M10" s="20">
        <v>0.77</v>
      </c>
    </row>
    <row r="11" spans="1:13" hidden="1" x14ac:dyDescent="0.3">
      <c r="A11" s="31" t="s">
        <v>149</v>
      </c>
      <c r="B11" s="18" t="s">
        <v>150</v>
      </c>
      <c r="C11" s="19">
        <v>0.94</v>
      </c>
      <c r="D11" s="19">
        <v>0.87</v>
      </c>
      <c r="E11" s="20">
        <v>0.8</v>
      </c>
      <c r="F11" s="350"/>
      <c r="G11" s="350"/>
      <c r="H11" s="350"/>
      <c r="I11" s="21" t="s">
        <v>151</v>
      </c>
      <c r="J11" s="19">
        <v>0.52</v>
      </c>
      <c r="K11" s="19">
        <v>0.87</v>
      </c>
      <c r="L11" s="19">
        <v>0.14000000000000001</v>
      </c>
      <c r="M11" s="20">
        <v>0.94</v>
      </c>
    </row>
    <row r="12" spans="1:13" hidden="1" x14ac:dyDescent="0.3">
      <c r="A12" s="32" t="s">
        <v>152</v>
      </c>
      <c r="B12" s="18" t="s">
        <v>153</v>
      </c>
      <c r="C12" s="19">
        <v>0.9</v>
      </c>
      <c r="D12" s="19">
        <v>0.17</v>
      </c>
      <c r="E12" s="20">
        <v>0.31</v>
      </c>
      <c r="F12" s="350"/>
      <c r="G12" s="350"/>
      <c r="H12" s="350"/>
      <c r="I12" s="21" t="s">
        <v>154</v>
      </c>
      <c r="J12" s="19">
        <v>0.78</v>
      </c>
      <c r="K12" s="19">
        <v>0.53</v>
      </c>
      <c r="L12" s="19">
        <v>0.81</v>
      </c>
      <c r="M12" s="20">
        <v>0.9</v>
      </c>
    </row>
    <row r="13" spans="1:13" x14ac:dyDescent="0.3">
      <c r="A13" s="33" t="s">
        <v>155</v>
      </c>
      <c r="B13" s="18" t="s">
        <v>156</v>
      </c>
      <c r="C13" s="19">
        <v>0.62</v>
      </c>
      <c r="D13" s="19">
        <v>0.17</v>
      </c>
      <c r="E13" s="20">
        <v>0.41</v>
      </c>
      <c r="F13" s="350"/>
      <c r="G13" s="350"/>
      <c r="H13" s="350"/>
      <c r="I13" s="21" t="s">
        <v>157</v>
      </c>
      <c r="J13" s="19">
        <v>0.56999999999999995</v>
      </c>
      <c r="K13" s="19">
        <v>0.4</v>
      </c>
      <c r="L13" s="19">
        <v>0.73</v>
      </c>
      <c r="M13" s="20">
        <v>0.62</v>
      </c>
    </row>
    <row r="14" spans="1:13" hidden="1" x14ac:dyDescent="0.3">
      <c r="A14" s="34" t="s">
        <v>158</v>
      </c>
      <c r="B14" s="18" t="s">
        <v>159</v>
      </c>
      <c r="C14" s="19">
        <v>0.95</v>
      </c>
      <c r="D14" s="19">
        <v>0.61</v>
      </c>
      <c r="E14" s="20">
        <v>0.73</v>
      </c>
      <c r="F14" s="350"/>
      <c r="G14" s="350"/>
      <c r="H14" s="350"/>
      <c r="I14" s="21" t="s">
        <v>160</v>
      </c>
      <c r="J14" s="19">
        <v>0.75</v>
      </c>
      <c r="K14" s="19">
        <v>0.78</v>
      </c>
      <c r="L14" s="19">
        <v>0.35</v>
      </c>
      <c r="M14" s="20">
        <v>0.95</v>
      </c>
    </row>
    <row r="15" spans="1:13" x14ac:dyDescent="0.3">
      <c r="A15" s="35" t="s">
        <v>161</v>
      </c>
      <c r="B15" s="18" t="s">
        <v>162</v>
      </c>
      <c r="C15" s="19">
        <v>0.67</v>
      </c>
      <c r="D15" s="19">
        <v>0.15</v>
      </c>
      <c r="E15" s="20">
        <v>0.31</v>
      </c>
      <c r="F15" s="350"/>
      <c r="G15" s="350"/>
      <c r="H15" s="350"/>
      <c r="I15" s="21" t="s">
        <v>163</v>
      </c>
      <c r="J15" s="19">
        <v>0.63</v>
      </c>
      <c r="K15" s="19">
        <v>0.41</v>
      </c>
      <c r="L15" s="19">
        <v>0.77</v>
      </c>
      <c r="M15" s="20">
        <v>0.67</v>
      </c>
    </row>
    <row r="16" spans="1:13" hidden="1" x14ac:dyDescent="0.3">
      <c r="A16" s="36" t="s">
        <v>164</v>
      </c>
      <c r="B16" s="18" t="s">
        <v>165</v>
      </c>
      <c r="C16" s="19">
        <v>0.83</v>
      </c>
      <c r="D16" s="19">
        <v>0.13</v>
      </c>
      <c r="E16" s="20">
        <v>0.18</v>
      </c>
      <c r="F16" s="350"/>
      <c r="G16" s="350"/>
      <c r="H16" s="350"/>
      <c r="I16" s="21" t="s">
        <v>166</v>
      </c>
      <c r="J16" s="19">
        <v>0.73</v>
      </c>
      <c r="K16" s="19">
        <v>0.48</v>
      </c>
      <c r="L16" s="19">
        <v>0.84</v>
      </c>
      <c r="M16" s="20">
        <v>0.83</v>
      </c>
    </row>
    <row r="17" spans="1:13" x14ac:dyDescent="0.3">
      <c r="A17" s="37" t="s">
        <v>167</v>
      </c>
      <c r="B17" s="18" t="s">
        <v>168</v>
      </c>
      <c r="C17" s="19">
        <v>0.23</v>
      </c>
      <c r="D17" s="19">
        <v>0.48</v>
      </c>
      <c r="E17" s="20">
        <v>0.34</v>
      </c>
      <c r="F17" s="350"/>
      <c r="G17" s="350"/>
      <c r="H17" s="350"/>
      <c r="I17" s="21" t="s">
        <v>169</v>
      </c>
      <c r="J17" s="19">
        <v>0.35</v>
      </c>
      <c r="K17" s="19">
        <v>0.36</v>
      </c>
      <c r="L17" s="19">
        <v>0.52</v>
      </c>
      <c r="M17" s="20">
        <v>0.48</v>
      </c>
    </row>
    <row r="18" spans="1:13" hidden="1" x14ac:dyDescent="0.3">
      <c r="A18" s="38" t="s">
        <v>170</v>
      </c>
      <c r="B18" s="18" t="s">
        <v>171</v>
      </c>
      <c r="C18" s="19">
        <v>1</v>
      </c>
      <c r="D18" s="19">
        <v>0.75</v>
      </c>
      <c r="E18" s="20">
        <v>0</v>
      </c>
      <c r="F18" s="350"/>
      <c r="G18" s="350"/>
      <c r="H18" s="350"/>
      <c r="I18" s="21" t="s">
        <v>172</v>
      </c>
      <c r="J18" s="19">
        <v>1</v>
      </c>
      <c r="K18" s="19">
        <v>0.5</v>
      </c>
      <c r="L18" s="19">
        <v>1</v>
      </c>
      <c r="M18" s="20">
        <v>1</v>
      </c>
    </row>
    <row r="19" spans="1:13" hidden="1" x14ac:dyDescent="0.3">
      <c r="A19" s="39" t="s">
        <v>173</v>
      </c>
      <c r="B19" s="18" t="s">
        <v>174</v>
      </c>
      <c r="C19" s="19">
        <v>1</v>
      </c>
      <c r="D19" s="19">
        <v>0.49</v>
      </c>
      <c r="E19" s="20">
        <v>0</v>
      </c>
      <c r="F19" s="350"/>
      <c r="G19" s="350"/>
      <c r="H19" s="350"/>
      <c r="I19" s="21" t="s">
        <v>151</v>
      </c>
      <c r="J19" s="19">
        <v>1</v>
      </c>
      <c r="K19" s="19">
        <v>0.5</v>
      </c>
      <c r="L19" s="19">
        <v>1</v>
      </c>
      <c r="M19" s="20">
        <v>1</v>
      </c>
    </row>
    <row r="20" spans="1:13" hidden="1" x14ac:dyDescent="0.3">
      <c r="A20" s="40" t="s">
        <v>175</v>
      </c>
      <c r="B20" s="18" t="s">
        <v>176</v>
      </c>
      <c r="C20" s="19">
        <v>0.6</v>
      </c>
      <c r="D20" s="19">
        <v>0.4</v>
      </c>
      <c r="E20" s="20">
        <v>0.8</v>
      </c>
      <c r="F20" s="350"/>
      <c r="G20" s="350"/>
      <c r="H20" s="350"/>
      <c r="I20" s="21" t="s">
        <v>177</v>
      </c>
      <c r="J20" s="19">
        <v>0.5</v>
      </c>
      <c r="K20" s="19">
        <v>0.6</v>
      </c>
      <c r="L20" s="19">
        <v>0.5</v>
      </c>
      <c r="M20" s="20">
        <v>0.8</v>
      </c>
    </row>
    <row r="21" spans="1:13" hidden="1" x14ac:dyDescent="0.3">
      <c r="A21" s="41" t="s">
        <v>178</v>
      </c>
      <c r="B21" s="18" t="s">
        <v>179</v>
      </c>
      <c r="C21" s="19">
        <v>0.64</v>
      </c>
      <c r="D21" s="19">
        <v>0.78</v>
      </c>
      <c r="E21" s="20">
        <v>0.22</v>
      </c>
      <c r="F21" s="350"/>
      <c r="G21" s="350"/>
      <c r="H21" s="350"/>
      <c r="I21" s="21" t="s">
        <v>180</v>
      </c>
      <c r="J21" s="19">
        <v>0.55000000000000004</v>
      </c>
      <c r="K21" s="19">
        <v>0.5</v>
      </c>
      <c r="L21" s="19">
        <v>0.71</v>
      </c>
      <c r="M21" s="20">
        <v>0.78</v>
      </c>
    </row>
    <row r="22" spans="1:13" hidden="1" x14ac:dyDescent="0.3">
      <c r="A22" s="42" t="s">
        <v>181</v>
      </c>
      <c r="B22" s="18" t="s">
        <v>182</v>
      </c>
      <c r="C22" s="19">
        <v>0.8</v>
      </c>
      <c r="D22" s="19">
        <v>0.57999999999999996</v>
      </c>
      <c r="E22" s="20">
        <v>0.46</v>
      </c>
      <c r="F22" s="350"/>
      <c r="G22" s="350"/>
      <c r="H22" s="350"/>
      <c r="I22" s="21" t="s">
        <v>183</v>
      </c>
      <c r="J22" s="19">
        <v>0.47</v>
      </c>
      <c r="K22" s="19">
        <v>0.63</v>
      </c>
      <c r="L22" s="19">
        <v>0.43</v>
      </c>
      <c r="M22" s="20">
        <v>0.8</v>
      </c>
    </row>
    <row r="23" spans="1:13" x14ac:dyDescent="0.3">
      <c r="A23" s="43" t="s">
        <v>184</v>
      </c>
      <c r="B23" s="18" t="s">
        <v>185</v>
      </c>
      <c r="C23" s="19">
        <v>0.4</v>
      </c>
      <c r="D23" s="19">
        <v>0.36</v>
      </c>
      <c r="E23" s="20">
        <v>0.12</v>
      </c>
      <c r="F23" s="350"/>
      <c r="G23" s="350"/>
      <c r="H23" s="350"/>
      <c r="I23" s="21" t="s">
        <v>186</v>
      </c>
      <c r="J23" s="19">
        <v>0.55000000000000004</v>
      </c>
      <c r="K23" s="19">
        <v>0.26</v>
      </c>
      <c r="L23" s="19">
        <v>0.71</v>
      </c>
      <c r="M23" s="20">
        <v>0.4</v>
      </c>
    </row>
    <row r="24" spans="1:13" x14ac:dyDescent="0.3">
      <c r="A24" s="44" t="s">
        <v>187</v>
      </c>
      <c r="B24" s="18" t="s">
        <v>188</v>
      </c>
      <c r="C24" s="19">
        <v>0.56999999999999995</v>
      </c>
      <c r="D24" s="19">
        <v>0.36</v>
      </c>
      <c r="E24" s="20">
        <v>0.51</v>
      </c>
      <c r="F24" s="350"/>
      <c r="G24" s="350"/>
      <c r="H24" s="350"/>
      <c r="I24" s="21" t="s">
        <v>189</v>
      </c>
      <c r="J24" s="19">
        <v>0.22</v>
      </c>
      <c r="K24" s="19">
        <v>0.46</v>
      </c>
      <c r="L24" s="19">
        <v>0.37</v>
      </c>
      <c r="M24" s="20">
        <v>0.56999999999999995</v>
      </c>
    </row>
    <row r="25" spans="1:13" x14ac:dyDescent="0.3">
      <c r="A25" s="45" t="s">
        <v>190</v>
      </c>
      <c r="B25" s="18" t="s">
        <v>191</v>
      </c>
      <c r="C25" s="19">
        <v>0.52</v>
      </c>
      <c r="D25" s="19">
        <v>0.11</v>
      </c>
      <c r="E25" s="20">
        <v>0.18</v>
      </c>
      <c r="F25" s="350"/>
      <c r="G25" s="350"/>
      <c r="H25" s="350"/>
      <c r="I25" s="21" t="s">
        <v>192</v>
      </c>
      <c r="J25" s="19">
        <v>0.66</v>
      </c>
      <c r="K25" s="19">
        <v>0.31</v>
      </c>
      <c r="L25" s="19">
        <v>0.8</v>
      </c>
      <c r="M25" s="20">
        <v>0.52</v>
      </c>
    </row>
    <row r="26" spans="1:13" hidden="1" x14ac:dyDescent="0.3">
      <c r="A26" s="46" t="s">
        <v>193</v>
      </c>
      <c r="B26" s="18" t="s">
        <v>194</v>
      </c>
      <c r="C26" s="19">
        <v>0.98</v>
      </c>
      <c r="D26" s="19">
        <v>0.92</v>
      </c>
      <c r="E26" s="20">
        <v>0.84</v>
      </c>
      <c r="F26" s="350"/>
      <c r="G26" s="350"/>
      <c r="H26" s="350"/>
      <c r="I26" s="21" t="s">
        <v>195</v>
      </c>
      <c r="J26" s="19">
        <v>0.78</v>
      </c>
      <c r="K26" s="19">
        <v>0.91</v>
      </c>
      <c r="L26" s="19">
        <v>0.14000000000000001</v>
      </c>
      <c r="M26" s="20">
        <v>0.98</v>
      </c>
    </row>
    <row r="27" spans="1:13" hidden="1" x14ac:dyDescent="0.3">
      <c r="A27" s="47" t="s">
        <v>196</v>
      </c>
      <c r="B27" s="18" t="s">
        <v>197</v>
      </c>
      <c r="C27" s="19">
        <v>0</v>
      </c>
      <c r="D27" s="19">
        <v>0.5</v>
      </c>
      <c r="E27" s="20">
        <v>0</v>
      </c>
      <c r="F27" s="350"/>
      <c r="G27" s="350"/>
      <c r="H27" s="350"/>
      <c r="I27" s="21" t="s">
        <v>198</v>
      </c>
      <c r="J27" s="19">
        <v>1</v>
      </c>
      <c r="K27" s="19">
        <v>0.25</v>
      </c>
      <c r="L27" s="19">
        <v>1</v>
      </c>
      <c r="M27" s="20">
        <v>0.5</v>
      </c>
    </row>
    <row r="28" spans="1:13" hidden="1" x14ac:dyDescent="0.3">
      <c r="A28" s="48" t="s">
        <v>199</v>
      </c>
      <c r="B28" s="18" t="s">
        <v>200</v>
      </c>
      <c r="C28" s="19">
        <v>0.55000000000000004</v>
      </c>
      <c r="D28" s="19">
        <v>0.71</v>
      </c>
      <c r="E28" s="20">
        <v>0</v>
      </c>
      <c r="F28" s="350"/>
      <c r="G28" s="350"/>
      <c r="H28" s="350"/>
      <c r="I28" s="21" t="s">
        <v>180</v>
      </c>
      <c r="J28" s="19">
        <v>1</v>
      </c>
      <c r="K28" s="19">
        <v>0.36</v>
      </c>
      <c r="L28" s="19">
        <v>1</v>
      </c>
      <c r="M28" s="20">
        <v>0.71</v>
      </c>
    </row>
    <row r="29" spans="1:13" hidden="1" x14ac:dyDescent="0.3">
      <c r="A29" s="49" t="s">
        <v>201</v>
      </c>
      <c r="B29" s="18" t="s">
        <v>202</v>
      </c>
      <c r="C29" s="19">
        <v>0.98</v>
      </c>
      <c r="D29" s="19">
        <v>0.81</v>
      </c>
      <c r="E29" s="20">
        <v>0.69</v>
      </c>
      <c r="F29" s="350"/>
      <c r="G29" s="350"/>
      <c r="H29" s="350"/>
      <c r="I29" s="21" t="s">
        <v>203</v>
      </c>
      <c r="J29" s="19">
        <v>0.9</v>
      </c>
      <c r="K29" s="19">
        <v>0.84</v>
      </c>
      <c r="L29" s="19">
        <v>0.28999999999999998</v>
      </c>
      <c r="M29" s="20">
        <v>0.98</v>
      </c>
    </row>
    <row r="30" spans="1:13" hidden="1" x14ac:dyDescent="0.3">
      <c r="A30" s="50" t="s">
        <v>204</v>
      </c>
      <c r="B30" s="18" t="s">
        <v>205</v>
      </c>
      <c r="C30" s="19">
        <v>0</v>
      </c>
      <c r="D30" s="19">
        <v>1</v>
      </c>
      <c r="E30" s="20">
        <v>1</v>
      </c>
      <c r="F30" s="350"/>
      <c r="G30" s="350"/>
      <c r="H30" s="350"/>
      <c r="I30" s="21" t="s">
        <v>206</v>
      </c>
      <c r="J30" s="19">
        <v>1</v>
      </c>
      <c r="K30" s="19">
        <v>0.5</v>
      </c>
      <c r="L30" s="19">
        <v>1</v>
      </c>
      <c r="M30" s="20">
        <v>1</v>
      </c>
    </row>
    <row r="31" spans="1:13" hidden="1" x14ac:dyDescent="0.3">
      <c r="A31" s="51" t="s">
        <v>207</v>
      </c>
      <c r="B31" s="18" t="s">
        <v>208</v>
      </c>
      <c r="C31" s="19">
        <v>0.5</v>
      </c>
      <c r="D31" s="19">
        <v>1</v>
      </c>
      <c r="E31" s="20">
        <v>0.83</v>
      </c>
      <c r="F31" s="350"/>
      <c r="G31" s="350"/>
      <c r="H31" s="350"/>
      <c r="I31" s="21" t="s">
        <v>209</v>
      </c>
      <c r="J31" s="19">
        <v>1</v>
      </c>
      <c r="K31" s="19">
        <v>0.75</v>
      </c>
      <c r="L31" s="19">
        <v>0.5</v>
      </c>
      <c r="M31" s="20">
        <v>1</v>
      </c>
    </row>
    <row r="32" spans="1:13" hidden="1" x14ac:dyDescent="0.3">
      <c r="A32" s="52" t="s">
        <v>210</v>
      </c>
      <c r="B32" s="18" t="s">
        <v>211</v>
      </c>
      <c r="C32" s="19">
        <v>0.82</v>
      </c>
      <c r="D32" s="19">
        <v>1</v>
      </c>
      <c r="E32" s="20">
        <v>0.08</v>
      </c>
      <c r="F32" s="350"/>
      <c r="G32" s="350"/>
      <c r="H32" s="350"/>
      <c r="I32" s="21" t="s">
        <v>212</v>
      </c>
      <c r="J32" s="19">
        <v>1</v>
      </c>
      <c r="K32" s="19">
        <v>0.54</v>
      </c>
      <c r="L32" s="19">
        <v>0.92</v>
      </c>
      <c r="M32" s="20">
        <v>1</v>
      </c>
    </row>
    <row r="33" spans="1:13" x14ac:dyDescent="0.3">
      <c r="A33" s="53" t="s">
        <v>213</v>
      </c>
      <c r="B33" s="18" t="s">
        <v>214</v>
      </c>
      <c r="C33" s="19">
        <v>0.28999999999999998</v>
      </c>
      <c r="D33" s="19">
        <v>0.33</v>
      </c>
      <c r="E33" s="20">
        <v>0.13</v>
      </c>
      <c r="F33" s="350"/>
      <c r="G33" s="350"/>
      <c r="H33" s="350"/>
      <c r="I33" s="21" t="s">
        <v>215</v>
      </c>
      <c r="J33" s="19">
        <v>0.44</v>
      </c>
      <c r="K33" s="19">
        <v>0.23</v>
      </c>
      <c r="L33" s="19">
        <v>0.61</v>
      </c>
      <c r="M33" s="20">
        <v>0.33</v>
      </c>
    </row>
    <row r="34" spans="1:13" x14ac:dyDescent="0.3">
      <c r="A34" s="54" t="s">
        <v>216</v>
      </c>
      <c r="B34" s="18" t="s">
        <v>217</v>
      </c>
      <c r="C34" s="19">
        <v>0.56000000000000005</v>
      </c>
      <c r="D34" s="19">
        <v>0.59</v>
      </c>
      <c r="E34" s="20">
        <v>0.47</v>
      </c>
      <c r="F34" s="350"/>
      <c r="G34" s="350"/>
      <c r="H34" s="350"/>
      <c r="I34" s="21" t="s">
        <v>218</v>
      </c>
      <c r="J34" s="19">
        <v>0.13</v>
      </c>
      <c r="K34" s="19">
        <v>0.53</v>
      </c>
      <c r="L34" s="19">
        <v>0.2</v>
      </c>
      <c r="M34" s="20">
        <v>0.59</v>
      </c>
    </row>
    <row r="35" spans="1:13" hidden="1" x14ac:dyDescent="0.3">
      <c r="A35" s="55" t="s">
        <v>219</v>
      </c>
      <c r="B35" s="18" t="s">
        <v>220</v>
      </c>
      <c r="C35" s="19">
        <v>0.91</v>
      </c>
      <c r="D35" s="19">
        <v>0.84</v>
      </c>
      <c r="E35" s="20">
        <v>0.42</v>
      </c>
      <c r="F35" s="350"/>
      <c r="G35" s="350"/>
      <c r="H35" s="350"/>
      <c r="I35" s="21" t="s">
        <v>221</v>
      </c>
      <c r="J35" s="19">
        <v>0.74</v>
      </c>
      <c r="K35" s="19">
        <v>0.67</v>
      </c>
      <c r="L35" s="19">
        <v>0.54</v>
      </c>
      <c r="M35" s="20">
        <v>0.91</v>
      </c>
    </row>
    <row r="36" spans="1:13" x14ac:dyDescent="0.3">
      <c r="A36" s="56" t="s">
        <v>222</v>
      </c>
      <c r="B36" s="18" t="s">
        <v>223</v>
      </c>
      <c r="C36" s="19">
        <v>0.7</v>
      </c>
      <c r="D36" s="19">
        <v>0.75</v>
      </c>
      <c r="E36" s="20">
        <v>0.71</v>
      </c>
      <c r="F36" s="350"/>
      <c r="G36" s="350"/>
      <c r="H36" s="350"/>
      <c r="I36" s="21" t="s">
        <v>224</v>
      </c>
      <c r="J36" s="19">
        <v>0.08</v>
      </c>
      <c r="K36" s="19">
        <v>0.72</v>
      </c>
      <c r="L36" s="19">
        <v>0.06</v>
      </c>
      <c r="M36" s="20">
        <v>0.75</v>
      </c>
    </row>
    <row r="37" spans="1:13" x14ac:dyDescent="0.3">
      <c r="A37" s="57" t="s">
        <v>225</v>
      </c>
      <c r="B37" s="18" t="s">
        <v>226</v>
      </c>
      <c r="C37" s="19">
        <v>0.53</v>
      </c>
      <c r="D37" s="19">
        <v>0.66</v>
      </c>
      <c r="E37" s="20">
        <v>0.42</v>
      </c>
      <c r="F37" s="350"/>
      <c r="G37" s="350"/>
      <c r="H37" s="350"/>
      <c r="I37" s="21" t="s">
        <v>227</v>
      </c>
      <c r="J37" s="19">
        <v>0.26</v>
      </c>
      <c r="K37" s="19">
        <v>0.54</v>
      </c>
      <c r="L37" s="19">
        <v>0.37</v>
      </c>
      <c r="M37" s="20">
        <v>0.66</v>
      </c>
    </row>
    <row r="38" spans="1:13" hidden="1" x14ac:dyDescent="0.3">
      <c r="A38" s="58" t="s">
        <v>228</v>
      </c>
      <c r="B38" s="18" t="s">
        <v>229</v>
      </c>
      <c r="C38" s="19">
        <v>1</v>
      </c>
      <c r="D38" s="19">
        <v>0.6</v>
      </c>
      <c r="E38" s="20">
        <v>0.4</v>
      </c>
      <c r="F38" s="350"/>
      <c r="G38" s="350"/>
      <c r="H38" s="350"/>
      <c r="I38" s="21" t="s">
        <v>230</v>
      </c>
      <c r="J38" s="19">
        <v>1</v>
      </c>
      <c r="K38" s="19">
        <v>0.7</v>
      </c>
      <c r="L38" s="19">
        <v>0.6</v>
      </c>
      <c r="M38" s="20">
        <v>1</v>
      </c>
    </row>
    <row r="39" spans="1:13" x14ac:dyDescent="0.3">
      <c r="A39" s="59" t="s">
        <v>231</v>
      </c>
      <c r="B39" s="18" t="s">
        <v>232</v>
      </c>
      <c r="C39" s="19">
        <v>0.65</v>
      </c>
      <c r="D39" s="19">
        <v>0.16</v>
      </c>
      <c r="E39" s="20">
        <v>0.16</v>
      </c>
      <c r="F39" s="350"/>
      <c r="G39" s="350"/>
      <c r="H39" s="350"/>
      <c r="I39" s="21" t="s">
        <v>233</v>
      </c>
      <c r="J39" s="19">
        <v>0.59</v>
      </c>
      <c r="K39" s="19">
        <v>0.41</v>
      </c>
      <c r="L39" s="19">
        <v>0.75</v>
      </c>
      <c r="M39" s="20">
        <v>0.65</v>
      </c>
    </row>
    <row r="40" spans="1:13" hidden="1" x14ac:dyDescent="0.3">
      <c r="A40" s="60" t="s">
        <v>234</v>
      </c>
      <c r="B40" s="18" t="s">
        <v>235</v>
      </c>
      <c r="C40" s="19">
        <v>0.99</v>
      </c>
      <c r="D40" s="19">
        <v>0.93</v>
      </c>
      <c r="E40" s="20">
        <v>0</v>
      </c>
      <c r="F40" s="350"/>
      <c r="G40" s="350"/>
      <c r="H40" s="350"/>
      <c r="I40" s="21" t="s">
        <v>236</v>
      </c>
      <c r="J40" s="19">
        <v>1</v>
      </c>
      <c r="K40" s="19">
        <v>0.5</v>
      </c>
      <c r="L40" s="19">
        <v>1</v>
      </c>
      <c r="M40" s="20">
        <v>0.99</v>
      </c>
    </row>
    <row r="41" spans="1:13" hidden="1" x14ac:dyDescent="0.3">
      <c r="A41" s="61" t="s">
        <v>237</v>
      </c>
      <c r="B41" s="18" t="s">
        <v>238</v>
      </c>
      <c r="C41" s="19">
        <v>0.34</v>
      </c>
      <c r="D41" s="19">
        <v>0.51</v>
      </c>
      <c r="E41" s="20">
        <v>0.01</v>
      </c>
      <c r="F41" s="350"/>
      <c r="G41" s="350"/>
      <c r="H41" s="350"/>
      <c r="I41" s="21" t="s">
        <v>239</v>
      </c>
      <c r="J41" s="19">
        <v>0.95</v>
      </c>
      <c r="K41" s="19">
        <v>0.26</v>
      </c>
      <c r="L41" s="19">
        <v>0.98</v>
      </c>
      <c r="M41" s="20">
        <v>0.51</v>
      </c>
    </row>
    <row r="42" spans="1:13" hidden="1" x14ac:dyDescent="0.3">
      <c r="A42" s="62" t="s">
        <v>240</v>
      </c>
      <c r="B42" s="18" t="s">
        <v>241</v>
      </c>
      <c r="C42" s="19">
        <v>0</v>
      </c>
      <c r="D42" s="19">
        <v>0.5</v>
      </c>
      <c r="E42" s="20">
        <v>1</v>
      </c>
      <c r="F42" s="350"/>
      <c r="G42" s="350"/>
      <c r="H42" s="350"/>
      <c r="I42" s="21" t="s">
        <v>242</v>
      </c>
      <c r="J42" s="19">
        <v>1</v>
      </c>
      <c r="K42" s="19">
        <v>0.5</v>
      </c>
      <c r="L42" s="19">
        <v>1</v>
      </c>
      <c r="M42" s="20">
        <v>1</v>
      </c>
    </row>
    <row r="43" spans="1:13" hidden="1" x14ac:dyDescent="0.3">
      <c r="A43" s="63" t="s">
        <v>243</v>
      </c>
      <c r="B43" s="18" t="s">
        <v>244</v>
      </c>
      <c r="C43" s="19">
        <v>0.94</v>
      </c>
      <c r="D43" s="19">
        <v>1</v>
      </c>
      <c r="E43" s="20">
        <v>1</v>
      </c>
      <c r="F43" s="350"/>
      <c r="G43" s="350"/>
      <c r="H43" s="350"/>
      <c r="I43" s="21" t="s">
        <v>206</v>
      </c>
      <c r="J43" s="19">
        <v>1</v>
      </c>
      <c r="K43" s="19">
        <v>0.97</v>
      </c>
      <c r="L43" s="19">
        <v>0.06</v>
      </c>
      <c r="M43" s="20">
        <v>1</v>
      </c>
    </row>
    <row r="44" spans="1:13" hidden="1" x14ac:dyDescent="0.3">
      <c r="A44" s="64" t="s">
        <v>245</v>
      </c>
      <c r="B44" s="18" t="s">
        <v>246</v>
      </c>
      <c r="C44" s="19">
        <v>0.54</v>
      </c>
      <c r="D44" s="19">
        <v>0.81</v>
      </c>
      <c r="E44" s="20">
        <v>0.94</v>
      </c>
      <c r="F44" s="350"/>
      <c r="G44" s="350"/>
      <c r="H44" s="350"/>
      <c r="I44" s="21" t="s">
        <v>247</v>
      </c>
      <c r="J44" s="19">
        <v>0.77</v>
      </c>
      <c r="K44" s="19">
        <v>0.74</v>
      </c>
      <c r="L44" s="19">
        <v>0.43</v>
      </c>
      <c r="M44" s="20">
        <v>0.94</v>
      </c>
    </row>
    <row r="45" spans="1:13" hidden="1" x14ac:dyDescent="0.3">
      <c r="A45" s="65" t="s">
        <v>248</v>
      </c>
      <c r="B45" s="18" t="s">
        <v>249</v>
      </c>
      <c r="C45" s="19">
        <v>0.63</v>
      </c>
      <c r="D45" s="19">
        <v>0.79</v>
      </c>
      <c r="E45" s="20">
        <v>0.95</v>
      </c>
      <c r="F45" s="350"/>
      <c r="G45" s="350"/>
      <c r="H45" s="350"/>
      <c r="I45" s="21" t="s">
        <v>250</v>
      </c>
      <c r="J45" s="19">
        <v>0.74</v>
      </c>
      <c r="K45" s="19">
        <v>0.79</v>
      </c>
      <c r="L45" s="19">
        <v>0.33</v>
      </c>
      <c r="M45" s="20">
        <v>0.95</v>
      </c>
    </row>
    <row r="46" spans="1:13" hidden="1" x14ac:dyDescent="0.3">
      <c r="A46" s="66" t="s">
        <v>251</v>
      </c>
      <c r="B46" s="18" t="s">
        <v>252</v>
      </c>
      <c r="C46" s="19">
        <v>0.96</v>
      </c>
      <c r="D46" s="19">
        <v>0.76</v>
      </c>
      <c r="E46" s="20">
        <v>0.76</v>
      </c>
      <c r="F46" s="350"/>
      <c r="G46" s="350"/>
      <c r="H46" s="350"/>
      <c r="I46" s="21" t="s">
        <v>233</v>
      </c>
      <c r="J46" s="19">
        <v>0.69</v>
      </c>
      <c r="K46" s="19">
        <v>0.86</v>
      </c>
      <c r="L46" s="19">
        <v>0.2</v>
      </c>
      <c r="M46" s="20">
        <v>0.96</v>
      </c>
    </row>
    <row r="47" spans="1:13" hidden="1" x14ac:dyDescent="0.3">
      <c r="A47" s="67" t="s">
        <v>253</v>
      </c>
      <c r="B47" s="18" t="s">
        <v>254</v>
      </c>
      <c r="C47" s="19">
        <v>1</v>
      </c>
      <c r="D47" s="19">
        <v>1</v>
      </c>
      <c r="E47" s="20">
        <v>0.98</v>
      </c>
      <c r="F47" s="350"/>
      <c r="G47" s="350"/>
      <c r="H47" s="350"/>
      <c r="I47" s="21" t="s">
        <v>255</v>
      </c>
      <c r="J47" s="19">
        <v>0.67</v>
      </c>
      <c r="K47" s="19">
        <v>0.99</v>
      </c>
      <c r="L47" s="19">
        <v>0.02</v>
      </c>
      <c r="M47" s="20">
        <v>1</v>
      </c>
    </row>
    <row r="48" spans="1:13" hidden="1" x14ac:dyDescent="0.3">
      <c r="A48" s="68" t="s">
        <v>256</v>
      </c>
      <c r="B48" s="18" t="s">
        <v>257</v>
      </c>
      <c r="C48" s="19">
        <v>1</v>
      </c>
      <c r="D48" s="19">
        <v>0.56999999999999995</v>
      </c>
      <c r="E48" s="20">
        <v>0.69</v>
      </c>
      <c r="F48" s="350"/>
      <c r="G48" s="350"/>
      <c r="H48" s="350"/>
      <c r="I48" s="21" t="s">
        <v>258</v>
      </c>
      <c r="J48" s="19">
        <v>1</v>
      </c>
      <c r="K48" s="19">
        <v>0.78</v>
      </c>
      <c r="L48" s="19">
        <v>0.43</v>
      </c>
      <c r="M48" s="20">
        <v>1</v>
      </c>
    </row>
    <row r="49" spans="1:13" hidden="1" x14ac:dyDescent="0.3">
      <c r="A49" s="69" t="s">
        <v>259</v>
      </c>
      <c r="B49" s="18" t="s">
        <v>260</v>
      </c>
      <c r="C49" s="19">
        <v>0.98</v>
      </c>
      <c r="D49" s="19">
        <v>0.91</v>
      </c>
      <c r="E49" s="20">
        <v>0.71</v>
      </c>
      <c r="F49" s="350"/>
      <c r="G49" s="350"/>
      <c r="H49" s="350"/>
      <c r="I49" s="21" t="s">
        <v>261</v>
      </c>
      <c r="J49" s="19">
        <v>0.87</v>
      </c>
      <c r="K49" s="19">
        <v>0.85</v>
      </c>
      <c r="L49" s="19">
        <v>0.28000000000000003</v>
      </c>
      <c r="M49" s="20">
        <v>0.98</v>
      </c>
    </row>
    <row r="50" spans="1:13" hidden="1" x14ac:dyDescent="0.3">
      <c r="A50" s="70" t="s">
        <v>262</v>
      </c>
      <c r="B50" s="18" t="s">
        <v>263</v>
      </c>
      <c r="C50" s="19">
        <v>0.85</v>
      </c>
      <c r="D50" s="19">
        <v>0.09</v>
      </c>
      <c r="E50" s="20">
        <v>0.52</v>
      </c>
      <c r="F50" s="350"/>
      <c r="G50" s="350"/>
      <c r="H50" s="350"/>
      <c r="I50" s="21" t="s">
        <v>264</v>
      </c>
      <c r="J50" s="19">
        <v>0.8</v>
      </c>
      <c r="K50" s="19">
        <v>0.48</v>
      </c>
      <c r="L50" s="19">
        <v>0.89</v>
      </c>
      <c r="M50" s="20">
        <v>0.85</v>
      </c>
    </row>
    <row r="51" spans="1:13" hidden="1" x14ac:dyDescent="0.3">
      <c r="A51" s="71" t="s">
        <v>265</v>
      </c>
      <c r="B51" s="18" t="s">
        <v>266</v>
      </c>
      <c r="C51" s="19">
        <v>0.49</v>
      </c>
      <c r="D51" s="19">
        <v>0.04</v>
      </c>
      <c r="E51" s="20">
        <v>0.01</v>
      </c>
      <c r="F51" s="350"/>
      <c r="G51" s="350"/>
      <c r="H51" s="350"/>
      <c r="I51" s="21" t="s">
        <v>267</v>
      </c>
      <c r="J51" s="19">
        <v>0.97</v>
      </c>
      <c r="K51" s="19">
        <v>0.25</v>
      </c>
      <c r="L51" s="19">
        <v>0.98</v>
      </c>
      <c r="M51" s="20">
        <v>0.49</v>
      </c>
    </row>
    <row r="52" spans="1:13" x14ac:dyDescent="0.3">
      <c r="A52" s="72" t="s">
        <v>268</v>
      </c>
      <c r="B52" s="18" t="s">
        <v>269</v>
      </c>
      <c r="C52" s="19">
        <v>0.52</v>
      </c>
      <c r="D52" s="19">
        <v>0.52</v>
      </c>
      <c r="E52" s="20">
        <v>0.51</v>
      </c>
      <c r="F52" s="350"/>
      <c r="G52" s="350"/>
      <c r="H52" s="350"/>
      <c r="I52" s="21" t="s">
        <v>255</v>
      </c>
      <c r="J52" s="19">
        <v>0.01</v>
      </c>
      <c r="K52" s="19">
        <v>0.51</v>
      </c>
      <c r="L52" s="19">
        <v>0.02</v>
      </c>
      <c r="M52" s="20">
        <v>0.52</v>
      </c>
    </row>
    <row r="53" spans="1:13" hidden="1" x14ac:dyDescent="0.3">
      <c r="A53" s="73" t="s">
        <v>270</v>
      </c>
      <c r="B53" s="18" t="s">
        <v>271</v>
      </c>
      <c r="C53" s="19">
        <v>0.74</v>
      </c>
      <c r="D53" s="19">
        <v>0.83</v>
      </c>
      <c r="E53" s="20">
        <v>0.9</v>
      </c>
      <c r="F53" s="350"/>
      <c r="G53" s="350"/>
      <c r="H53" s="350"/>
      <c r="I53" s="21" t="s">
        <v>130</v>
      </c>
      <c r="J53" s="19">
        <v>0.46</v>
      </c>
      <c r="K53" s="19">
        <v>0.82</v>
      </c>
      <c r="L53" s="19">
        <v>0.18</v>
      </c>
      <c r="M53" s="20">
        <v>0.9</v>
      </c>
    </row>
    <row r="54" spans="1:13" x14ac:dyDescent="0.3">
      <c r="A54" s="74" t="s">
        <v>272</v>
      </c>
      <c r="B54" s="18" t="s">
        <v>273</v>
      </c>
      <c r="C54" s="19">
        <v>0.62</v>
      </c>
      <c r="D54" s="19">
        <v>0.51</v>
      </c>
      <c r="E54" s="20">
        <v>0.44</v>
      </c>
      <c r="F54" s="350"/>
      <c r="G54" s="350"/>
      <c r="H54" s="350"/>
      <c r="I54" s="21" t="s">
        <v>183</v>
      </c>
      <c r="J54" s="19">
        <v>0.2</v>
      </c>
      <c r="K54" s="19">
        <v>0.53</v>
      </c>
      <c r="L54" s="19">
        <v>0.3</v>
      </c>
      <c r="M54" s="20">
        <v>0.62</v>
      </c>
    </row>
    <row r="55" spans="1:13" hidden="1" x14ac:dyDescent="0.3">
      <c r="A55" s="75" t="s">
        <v>274</v>
      </c>
      <c r="B55" s="18" t="s">
        <v>275</v>
      </c>
      <c r="C55" s="19">
        <v>0.96</v>
      </c>
      <c r="D55" s="19">
        <v>0.96</v>
      </c>
      <c r="E55" s="20">
        <v>0.86</v>
      </c>
      <c r="F55" s="350"/>
      <c r="G55" s="350"/>
      <c r="H55" s="350"/>
      <c r="I55" s="21" t="s">
        <v>255</v>
      </c>
      <c r="J55" s="19">
        <v>0.56000000000000005</v>
      </c>
      <c r="K55" s="19">
        <v>0.91</v>
      </c>
      <c r="L55" s="19">
        <v>0.1</v>
      </c>
      <c r="M55" s="20">
        <v>0.96</v>
      </c>
    </row>
    <row r="56" spans="1:13" x14ac:dyDescent="0.3">
      <c r="A56" s="76" t="s">
        <v>276</v>
      </c>
      <c r="B56" s="18" t="s">
        <v>277</v>
      </c>
      <c r="C56" s="19">
        <v>0.18</v>
      </c>
      <c r="D56" s="19">
        <v>0.35</v>
      </c>
      <c r="E56" s="20">
        <v>0.57999999999999996</v>
      </c>
      <c r="F56" s="350"/>
      <c r="G56" s="350"/>
      <c r="H56" s="350"/>
      <c r="I56" s="21" t="s">
        <v>278</v>
      </c>
      <c r="J56" s="19">
        <v>0.53</v>
      </c>
      <c r="K56" s="19">
        <v>0.38</v>
      </c>
      <c r="L56" s="19">
        <v>0.69</v>
      </c>
      <c r="M56" s="20">
        <v>0.57999999999999996</v>
      </c>
    </row>
    <row r="57" spans="1:13" x14ac:dyDescent="0.3">
      <c r="A57" s="77" t="s">
        <v>279</v>
      </c>
      <c r="B57" s="18" t="s">
        <v>280</v>
      </c>
      <c r="C57" s="19">
        <v>0.61</v>
      </c>
      <c r="D57" s="19">
        <v>0.15</v>
      </c>
      <c r="E57" s="20">
        <v>0.26</v>
      </c>
      <c r="F57" s="350"/>
      <c r="G57" s="350"/>
      <c r="H57" s="350"/>
      <c r="I57" s="21" t="s">
        <v>281</v>
      </c>
      <c r="J57" s="19">
        <v>0.62</v>
      </c>
      <c r="K57" s="19">
        <v>0.38</v>
      </c>
      <c r="L57" s="19">
        <v>0.76</v>
      </c>
      <c r="M57" s="20">
        <v>0.61</v>
      </c>
    </row>
    <row r="58" spans="1:13" hidden="1" x14ac:dyDescent="0.3">
      <c r="A58" s="78" t="s">
        <v>282</v>
      </c>
      <c r="B58" s="18" t="s">
        <v>283</v>
      </c>
      <c r="C58" s="19">
        <v>1</v>
      </c>
      <c r="D58" s="19">
        <v>0.89</v>
      </c>
      <c r="E58" s="20">
        <v>0.77</v>
      </c>
      <c r="F58" s="350"/>
      <c r="G58" s="350"/>
      <c r="H58" s="350"/>
      <c r="I58" s="21" t="s">
        <v>284</v>
      </c>
      <c r="J58" s="19">
        <v>1</v>
      </c>
      <c r="K58" s="19">
        <v>0.88</v>
      </c>
      <c r="L58" s="19">
        <v>0.23</v>
      </c>
      <c r="M58" s="20">
        <v>1</v>
      </c>
    </row>
    <row r="59" spans="1:13" x14ac:dyDescent="0.3">
      <c r="A59" s="79" t="s">
        <v>285</v>
      </c>
      <c r="B59" s="18" t="s">
        <v>286</v>
      </c>
      <c r="C59" s="19">
        <v>0.24</v>
      </c>
      <c r="D59" s="19">
        <v>0.17</v>
      </c>
      <c r="E59" s="20">
        <v>0.12</v>
      </c>
      <c r="F59" s="350"/>
      <c r="G59" s="350"/>
      <c r="H59" s="350"/>
      <c r="I59" s="21" t="s">
        <v>203</v>
      </c>
      <c r="J59" s="19">
        <v>0.33</v>
      </c>
      <c r="K59" s="19">
        <v>0.18</v>
      </c>
      <c r="L59" s="19">
        <v>0.49</v>
      </c>
      <c r="M59" s="20">
        <v>0.24</v>
      </c>
    </row>
    <row r="60" spans="1:13" x14ac:dyDescent="0.3">
      <c r="A60" s="80" t="s">
        <v>287</v>
      </c>
      <c r="B60" s="18" t="s">
        <v>288</v>
      </c>
      <c r="C60" s="19">
        <v>0.59</v>
      </c>
      <c r="D60" s="19">
        <v>0.44</v>
      </c>
      <c r="E60" s="20">
        <v>0.09</v>
      </c>
      <c r="F60" s="350"/>
      <c r="G60" s="350"/>
      <c r="H60" s="350"/>
      <c r="I60" s="21" t="s">
        <v>261</v>
      </c>
      <c r="J60" s="19">
        <v>0.73</v>
      </c>
      <c r="K60" s="19">
        <v>0.34</v>
      </c>
      <c r="L60" s="19">
        <v>0.85</v>
      </c>
      <c r="M60" s="20">
        <v>0.59</v>
      </c>
    </row>
    <row r="61" spans="1:13" hidden="1" x14ac:dyDescent="0.3">
      <c r="A61" s="81" t="s">
        <v>289</v>
      </c>
      <c r="B61" s="18" t="s">
        <v>290</v>
      </c>
      <c r="C61" s="19">
        <v>0.79</v>
      </c>
      <c r="D61" s="19">
        <v>0.88</v>
      </c>
      <c r="E61" s="20">
        <v>0.05</v>
      </c>
      <c r="F61" s="350"/>
      <c r="G61" s="350"/>
      <c r="H61" s="350"/>
      <c r="I61" s="21" t="s">
        <v>291</v>
      </c>
      <c r="J61" s="19">
        <v>0.89</v>
      </c>
      <c r="K61" s="19">
        <v>0.46</v>
      </c>
      <c r="L61" s="19">
        <v>0.94</v>
      </c>
      <c r="M61" s="20">
        <v>0.88</v>
      </c>
    </row>
    <row r="62" spans="1:13" hidden="1" x14ac:dyDescent="0.3">
      <c r="A62" s="82" t="s">
        <v>292</v>
      </c>
      <c r="B62" s="18" t="s">
        <v>293</v>
      </c>
      <c r="C62" s="19">
        <v>0.75</v>
      </c>
      <c r="D62" s="19">
        <v>1</v>
      </c>
      <c r="E62" s="20">
        <v>0</v>
      </c>
      <c r="F62" s="350"/>
      <c r="G62" s="350"/>
      <c r="H62" s="350"/>
      <c r="I62" s="21" t="s">
        <v>294</v>
      </c>
      <c r="J62" s="19">
        <v>1</v>
      </c>
      <c r="K62" s="19">
        <v>0.5</v>
      </c>
      <c r="L62" s="19">
        <v>1</v>
      </c>
      <c r="M62" s="20">
        <v>1</v>
      </c>
    </row>
    <row r="63" spans="1:13" hidden="1" x14ac:dyDescent="0.3">
      <c r="A63" s="83" t="s">
        <v>295</v>
      </c>
      <c r="B63" s="18" t="s">
        <v>296</v>
      </c>
      <c r="C63" s="19">
        <v>1</v>
      </c>
      <c r="D63" s="19">
        <v>0.44</v>
      </c>
      <c r="E63" s="20">
        <v>0.37</v>
      </c>
      <c r="F63" s="350"/>
      <c r="G63" s="350"/>
      <c r="H63" s="350"/>
      <c r="I63" s="21" t="s">
        <v>297</v>
      </c>
      <c r="J63" s="19">
        <v>0.99</v>
      </c>
      <c r="K63" s="19">
        <v>0.68</v>
      </c>
      <c r="L63" s="19">
        <v>0.63</v>
      </c>
      <c r="M63" s="20">
        <v>1</v>
      </c>
    </row>
    <row r="64" spans="1:13" x14ac:dyDescent="0.3">
      <c r="A64" s="84" t="s">
        <v>298</v>
      </c>
      <c r="B64" s="18" t="s">
        <v>299</v>
      </c>
      <c r="C64" s="19">
        <v>0.75</v>
      </c>
      <c r="D64" s="19">
        <v>0.31</v>
      </c>
      <c r="E64" s="20">
        <v>0.32</v>
      </c>
      <c r="F64" s="350"/>
      <c r="G64" s="350"/>
      <c r="H64" s="350"/>
      <c r="I64" s="21" t="s">
        <v>300</v>
      </c>
      <c r="J64" s="19">
        <v>0.47</v>
      </c>
      <c r="K64" s="19">
        <v>0.53</v>
      </c>
      <c r="L64" s="19">
        <v>0.59</v>
      </c>
      <c r="M64" s="20">
        <v>0.75</v>
      </c>
    </row>
    <row r="65" spans="1:13" hidden="1" x14ac:dyDescent="0.3">
      <c r="A65" s="85" t="s">
        <v>301</v>
      </c>
      <c r="B65" s="18" t="s">
        <v>302</v>
      </c>
      <c r="C65" s="19">
        <v>0</v>
      </c>
      <c r="D65" s="19">
        <v>0</v>
      </c>
      <c r="E65" s="20">
        <v>0</v>
      </c>
      <c r="F65" s="350"/>
      <c r="G65" s="350"/>
      <c r="H65" s="350"/>
      <c r="I65" s="21" t="s">
        <v>303</v>
      </c>
      <c r="J65" s="19">
        <v>0</v>
      </c>
      <c r="K65" s="19">
        <v>0</v>
      </c>
      <c r="L65" s="19">
        <v>0</v>
      </c>
      <c r="M65" s="20">
        <v>0</v>
      </c>
    </row>
    <row r="66" spans="1:13" hidden="1" x14ac:dyDescent="0.3">
      <c r="A66" s="86" t="s">
        <v>304</v>
      </c>
      <c r="B66" s="18" t="s">
        <v>305</v>
      </c>
      <c r="C66" s="19">
        <v>0.24</v>
      </c>
      <c r="D66" s="19">
        <v>0.05</v>
      </c>
      <c r="E66" s="20">
        <v>0.01</v>
      </c>
      <c r="F66" s="350"/>
      <c r="G66" s="350"/>
      <c r="H66" s="350"/>
      <c r="I66" s="21" t="s">
        <v>306</v>
      </c>
      <c r="J66" s="19">
        <v>0.94</v>
      </c>
      <c r="K66" s="19">
        <v>0.12</v>
      </c>
      <c r="L66" s="19">
        <v>0.97</v>
      </c>
      <c r="M66" s="20">
        <v>0.24</v>
      </c>
    </row>
    <row r="67" spans="1:13" x14ac:dyDescent="0.3">
      <c r="A67" s="87" t="s">
        <v>307</v>
      </c>
      <c r="B67" s="18" t="s">
        <v>308</v>
      </c>
      <c r="C67" s="19">
        <v>0.11</v>
      </c>
      <c r="D67" s="19">
        <v>0.09</v>
      </c>
      <c r="E67" s="20">
        <v>7.0000000000000007E-2</v>
      </c>
      <c r="F67" s="350"/>
      <c r="G67" s="350"/>
      <c r="H67" s="350"/>
      <c r="I67" s="21" t="s">
        <v>309</v>
      </c>
      <c r="J67" s="19">
        <v>0.23</v>
      </c>
      <c r="K67" s="19">
        <v>0.09</v>
      </c>
      <c r="L67" s="19">
        <v>0.37</v>
      </c>
      <c r="M67" s="20">
        <v>0.11</v>
      </c>
    </row>
    <row r="68" spans="1:13" x14ac:dyDescent="0.3">
      <c r="A68" s="88" t="s">
        <v>310</v>
      </c>
      <c r="B68" s="18" t="s">
        <v>311</v>
      </c>
      <c r="C68" s="19">
        <v>0.23</v>
      </c>
      <c r="D68" s="19">
        <v>0.18</v>
      </c>
      <c r="E68" s="20">
        <v>0.18</v>
      </c>
      <c r="F68" s="350"/>
      <c r="G68" s="350"/>
      <c r="H68" s="350"/>
      <c r="I68" s="21" t="s">
        <v>233</v>
      </c>
      <c r="J68" s="19">
        <v>0.11</v>
      </c>
      <c r="K68" s="19">
        <v>0.21</v>
      </c>
      <c r="L68" s="19">
        <v>0.2</v>
      </c>
      <c r="M68" s="20">
        <v>0.23</v>
      </c>
    </row>
    <row r="69" spans="1:13" x14ac:dyDescent="0.3">
      <c r="A69" s="89" t="s">
        <v>312</v>
      </c>
      <c r="B69" s="18" t="s">
        <v>313</v>
      </c>
      <c r="C69" s="19">
        <v>0.33</v>
      </c>
      <c r="D69" s="19">
        <v>0.38</v>
      </c>
      <c r="E69" s="20">
        <v>0.44</v>
      </c>
      <c r="F69" s="350"/>
      <c r="G69" s="350"/>
      <c r="H69" s="350"/>
      <c r="I69" s="21" t="s">
        <v>250</v>
      </c>
      <c r="J69" s="19">
        <v>0.14000000000000001</v>
      </c>
      <c r="K69" s="19">
        <v>0.38</v>
      </c>
      <c r="L69" s="19">
        <v>0.24</v>
      </c>
      <c r="M69" s="20">
        <v>0.44</v>
      </c>
    </row>
    <row r="70" spans="1:13" x14ac:dyDescent="0.3">
      <c r="A70" s="90" t="s">
        <v>314</v>
      </c>
      <c r="B70" s="18" t="s">
        <v>315</v>
      </c>
      <c r="C70" s="19">
        <v>0.23</v>
      </c>
      <c r="D70" s="19">
        <v>0.24</v>
      </c>
      <c r="E70" s="20">
        <v>0.21</v>
      </c>
      <c r="F70" s="350"/>
      <c r="G70" s="350"/>
      <c r="H70" s="350"/>
      <c r="I70" s="21" t="s">
        <v>316</v>
      </c>
      <c r="J70" s="19">
        <v>0.05</v>
      </c>
      <c r="K70" s="19">
        <v>0.22</v>
      </c>
      <c r="L70" s="19">
        <v>0.1</v>
      </c>
      <c r="M70" s="20">
        <v>0.24</v>
      </c>
    </row>
    <row r="71" spans="1:13" x14ac:dyDescent="0.3">
      <c r="A71" s="91" t="s">
        <v>317</v>
      </c>
      <c r="B71" s="18" t="s">
        <v>318</v>
      </c>
      <c r="C71" s="19">
        <v>0.75</v>
      </c>
      <c r="D71" s="19">
        <v>0.69</v>
      </c>
      <c r="E71" s="20">
        <v>0.7</v>
      </c>
      <c r="F71" s="350"/>
      <c r="G71" s="350"/>
      <c r="H71" s="350"/>
      <c r="I71" s="21" t="s">
        <v>319</v>
      </c>
      <c r="J71" s="19">
        <v>0.11</v>
      </c>
      <c r="K71" s="19">
        <v>0.72</v>
      </c>
      <c r="L71" s="19">
        <v>0.08</v>
      </c>
      <c r="M71" s="20">
        <v>0.75</v>
      </c>
    </row>
    <row r="72" spans="1:13" hidden="1" x14ac:dyDescent="0.3">
      <c r="A72" s="92" t="s">
        <v>320</v>
      </c>
      <c r="B72" s="18" t="s">
        <v>321</v>
      </c>
      <c r="C72" s="19">
        <v>1</v>
      </c>
      <c r="D72" s="19">
        <v>0.92</v>
      </c>
      <c r="E72" s="20">
        <v>0.8</v>
      </c>
      <c r="F72" s="350"/>
      <c r="G72" s="350"/>
      <c r="H72" s="350"/>
      <c r="I72" s="21" t="s">
        <v>322</v>
      </c>
      <c r="J72" s="19">
        <v>1</v>
      </c>
      <c r="K72" s="19">
        <v>0.9</v>
      </c>
      <c r="L72" s="19">
        <v>0.2</v>
      </c>
      <c r="M72" s="20">
        <v>1</v>
      </c>
    </row>
    <row r="73" spans="1:13" x14ac:dyDescent="0.3">
      <c r="A73" s="93" t="s">
        <v>323</v>
      </c>
      <c r="B73" s="18" t="s">
        <v>324</v>
      </c>
      <c r="C73" s="19">
        <v>0.65</v>
      </c>
      <c r="D73" s="19">
        <v>0.44</v>
      </c>
      <c r="E73" s="20">
        <v>0.39</v>
      </c>
      <c r="F73" s="350"/>
      <c r="G73" s="350"/>
      <c r="H73" s="350"/>
      <c r="I73" s="21" t="s">
        <v>325</v>
      </c>
      <c r="J73" s="19">
        <v>0.27</v>
      </c>
      <c r="K73" s="19">
        <v>0.52</v>
      </c>
      <c r="L73" s="19">
        <v>0.39</v>
      </c>
      <c r="M73" s="20">
        <v>0.65</v>
      </c>
    </row>
    <row r="74" spans="1:13" hidden="1" x14ac:dyDescent="0.3">
      <c r="A74" s="94" t="s">
        <v>326</v>
      </c>
      <c r="B74" s="18" t="s">
        <v>327</v>
      </c>
      <c r="C74" s="19">
        <v>0.19</v>
      </c>
      <c r="D74" s="19">
        <v>0.55000000000000004</v>
      </c>
      <c r="E74" s="20">
        <v>0.91</v>
      </c>
      <c r="F74" s="350"/>
      <c r="G74" s="350"/>
      <c r="H74" s="350"/>
      <c r="I74" s="21" t="s">
        <v>242</v>
      </c>
      <c r="J74" s="19">
        <v>0.79</v>
      </c>
      <c r="K74" s="19">
        <v>0.55000000000000004</v>
      </c>
      <c r="L74" s="19">
        <v>0.79</v>
      </c>
      <c r="M74" s="20">
        <v>0.91</v>
      </c>
    </row>
    <row r="75" spans="1:13" hidden="1" x14ac:dyDescent="0.3">
      <c r="A75" s="95" t="s">
        <v>328</v>
      </c>
      <c r="B75" s="18" t="s">
        <v>329</v>
      </c>
      <c r="C75" s="19">
        <v>0.67</v>
      </c>
      <c r="D75" s="19">
        <v>0.9</v>
      </c>
      <c r="E75" s="20">
        <v>0.93</v>
      </c>
      <c r="F75" s="350"/>
      <c r="G75" s="350"/>
      <c r="H75" s="350"/>
      <c r="I75" s="21" t="s">
        <v>330</v>
      </c>
      <c r="J75" s="19">
        <v>0.66</v>
      </c>
      <c r="K75" s="19">
        <v>0.8</v>
      </c>
      <c r="L75" s="19">
        <v>0.28000000000000003</v>
      </c>
      <c r="M75" s="20">
        <v>0.93</v>
      </c>
    </row>
    <row r="76" spans="1:13" hidden="1" x14ac:dyDescent="0.3">
      <c r="A76" s="96" t="s">
        <v>331</v>
      </c>
      <c r="B76" s="18" t="s">
        <v>332</v>
      </c>
      <c r="C76" s="19">
        <v>0.98</v>
      </c>
      <c r="D76" s="19">
        <v>0.94</v>
      </c>
      <c r="E76" s="20">
        <v>0.75</v>
      </c>
      <c r="F76" s="350"/>
      <c r="G76" s="350"/>
      <c r="H76" s="350"/>
      <c r="I76" s="21" t="s">
        <v>142</v>
      </c>
      <c r="J76" s="19">
        <v>0.86</v>
      </c>
      <c r="K76" s="19">
        <v>0.86</v>
      </c>
      <c r="L76" s="19">
        <v>0.24</v>
      </c>
      <c r="M76" s="20">
        <v>0.98</v>
      </c>
    </row>
    <row r="77" spans="1:13" hidden="1" x14ac:dyDescent="0.3">
      <c r="A77" s="97" t="s">
        <v>333</v>
      </c>
      <c r="B77" s="18" t="s">
        <v>334</v>
      </c>
      <c r="C77" s="19">
        <v>0.4</v>
      </c>
      <c r="D77" s="19">
        <v>0</v>
      </c>
      <c r="E77" s="20">
        <v>0</v>
      </c>
      <c r="F77" s="350"/>
      <c r="G77" s="350"/>
      <c r="H77" s="350"/>
      <c r="I77" s="21" t="s">
        <v>233</v>
      </c>
      <c r="J77" s="19">
        <v>1</v>
      </c>
      <c r="K77" s="19">
        <v>0.2</v>
      </c>
      <c r="L77" s="19">
        <v>1</v>
      </c>
      <c r="M77" s="20">
        <v>0.4</v>
      </c>
    </row>
    <row r="78" spans="1:13" hidden="1" x14ac:dyDescent="0.3">
      <c r="A78" s="98" t="s">
        <v>117</v>
      </c>
      <c r="B78" s="18" t="s">
        <v>335</v>
      </c>
      <c r="C78" s="19">
        <v>0</v>
      </c>
      <c r="D78" s="19">
        <v>0</v>
      </c>
      <c r="E78" s="20">
        <v>1</v>
      </c>
      <c r="F78" s="350"/>
      <c r="G78" s="350"/>
      <c r="H78" s="350"/>
      <c r="I78" s="21" t="s">
        <v>336</v>
      </c>
      <c r="J78" s="19">
        <v>1</v>
      </c>
      <c r="K78" s="19">
        <v>0.5</v>
      </c>
      <c r="L78" s="19">
        <v>1</v>
      </c>
      <c r="M78" s="20">
        <v>1</v>
      </c>
    </row>
    <row r="79" spans="1:13" hidden="1" x14ac:dyDescent="0.3">
      <c r="A79" s="99" t="s">
        <v>337</v>
      </c>
      <c r="B79" s="18" t="s">
        <v>338</v>
      </c>
      <c r="C79" s="19">
        <v>0.12</v>
      </c>
      <c r="D79" s="19">
        <v>0.46</v>
      </c>
      <c r="E79" s="20">
        <v>1</v>
      </c>
      <c r="F79" s="350"/>
      <c r="G79" s="350"/>
      <c r="H79" s="350"/>
      <c r="I79" s="21" t="s">
        <v>124</v>
      </c>
      <c r="J79" s="19">
        <v>0.99</v>
      </c>
      <c r="K79" s="19">
        <v>0.56000000000000005</v>
      </c>
      <c r="L79" s="19">
        <v>0.88</v>
      </c>
      <c r="M79" s="20">
        <v>1</v>
      </c>
    </row>
    <row r="80" spans="1:13" hidden="1" x14ac:dyDescent="0.3">
      <c r="A80" s="100" t="s">
        <v>339</v>
      </c>
      <c r="B80" s="18" t="s">
        <v>340</v>
      </c>
      <c r="C80" s="19">
        <v>0</v>
      </c>
      <c r="D80" s="19">
        <v>0.57999999999999996</v>
      </c>
      <c r="E80" s="20">
        <v>0.69</v>
      </c>
      <c r="F80" s="350"/>
      <c r="G80" s="350"/>
      <c r="H80" s="350"/>
      <c r="I80" s="21" t="s">
        <v>341</v>
      </c>
      <c r="J80" s="19">
        <v>1</v>
      </c>
      <c r="K80" s="19">
        <v>0.34</v>
      </c>
      <c r="L80" s="19">
        <v>1</v>
      </c>
      <c r="M80" s="20">
        <v>0.69</v>
      </c>
    </row>
    <row r="81" spans="1:13" hidden="1" x14ac:dyDescent="0.3">
      <c r="A81" s="101" t="s">
        <v>342</v>
      </c>
      <c r="B81" s="18" t="s">
        <v>343</v>
      </c>
      <c r="C81" s="19">
        <v>0</v>
      </c>
      <c r="D81" s="19">
        <v>0.53</v>
      </c>
      <c r="E81" s="20">
        <v>0.74</v>
      </c>
      <c r="F81" s="350"/>
      <c r="G81" s="350"/>
      <c r="H81" s="350"/>
      <c r="I81" s="21" t="s">
        <v>344</v>
      </c>
      <c r="J81" s="19">
        <v>1</v>
      </c>
      <c r="K81" s="19">
        <v>0.37</v>
      </c>
      <c r="L81" s="19">
        <v>1</v>
      </c>
      <c r="M81" s="20">
        <v>0.74</v>
      </c>
    </row>
    <row r="82" spans="1:13" hidden="1" x14ac:dyDescent="0.3">
      <c r="A82" s="102" t="s">
        <v>345</v>
      </c>
      <c r="B82" s="18" t="s">
        <v>346</v>
      </c>
      <c r="C82" s="19">
        <v>0</v>
      </c>
      <c r="D82" s="19">
        <v>0.09</v>
      </c>
      <c r="E82" s="20">
        <v>0.66</v>
      </c>
      <c r="F82" s="350"/>
      <c r="G82" s="350"/>
      <c r="H82" s="350"/>
      <c r="I82" s="21" t="s">
        <v>347</v>
      </c>
      <c r="J82" s="19">
        <v>1</v>
      </c>
      <c r="K82" s="19">
        <v>0.33</v>
      </c>
      <c r="L82" s="19">
        <v>1</v>
      </c>
      <c r="M82" s="20">
        <v>0.66</v>
      </c>
    </row>
    <row r="83" spans="1:13" x14ac:dyDescent="0.3">
      <c r="A83" s="103" t="s">
        <v>348</v>
      </c>
      <c r="B83" s="18" t="s">
        <v>349</v>
      </c>
      <c r="C83" s="19">
        <v>0.2</v>
      </c>
      <c r="D83" s="19">
        <v>0.2</v>
      </c>
      <c r="E83" s="20">
        <v>0.6</v>
      </c>
      <c r="F83" s="350"/>
      <c r="G83" s="350"/>
      <c r="H83" s="350"/>
      <c r="I83" s="21" t="s">
        <v>336</v>
      </c>
      <c r="J83" s="19">
        <v>0.5</v>
      </c>
      <c r="K83" s="19">
        <v>0.4</v>
      </c>
      <c r="L83" s="19">
        <v>0.67</v>
      </c>
      <c r="M83" s="20">
        <v>0.6</v>
      </c>
    </row>
    <row r="84" spans="1:13" hidden="1" x14ac:dyDescent="0.3">
      <c r="A84" s="104" t="s">
        <v>350</v>
      </c>
      <c r="B84" s="18" t="s">
        <v>351</v>
      </c>
      <c r="C84" s="19">
        <v>0.01</v>
      </c>
      <c r="D84" s="19">
        <v>0.28000000000000003</v>
      </c>
      <c r="E84" s="20">
        <v>1</v>
      </c>
      <c r="F84" s="350"/>
      <c r="G84" s="350"/>
      <c r="H84" s="350"/>
      <c r="I84" s="21" t="s">
        <v>352</v>
      </c>
      <c r="J84" s="19">
        <v>0.99</v>
      </c>
      <c r="K84" s="19">
        <v>0.5</v>
      </c>
      <c r="L84" s="19">
        <v>0.99</v>
      </c>
      <c r="M84" s="20">
        <v>1</v>
      </c>
    </row>
    <row r="85" spans="1:13" hidden="1" x14ac:dyDescent="0.3">
      <c r="A85" s="105" t="s">
        <v>353</v>
      </c>
      <c r="B85" s="18" t="s">
        <v>354</v>
      </c>
      <c r="C85" s="19">
        <v>0.64</v>
      </c>
      <c r="D85" s="19">
        <v>0.64</v>
      </c>
      <c r="E85" s="20">
        <v>0.82</v>
      </c>
      <c r="F85" s="350"/>
      <c r="G85" s="350"/>
      <c r="H85" s="350"/>
      <c r="I85" s="21" t="s">
        <v>336</v>
      </c>
      <c r="J85" s="19">
        <v>0.33</v>
      </c>
      <c r="K85" s="19">
        <v>0.73</v>
      </c>
      <c r="L85" s="19">
        <v>0.22</v>
      </c>
      <c r="M85" s="20">
        <v>0.82</v>
      </c>
    </row>
    <row r="86" spans="1:13" hidden="1" x14ac:dyDescent="0.3">
      <c r="A86" s="106" t="s">
        <v>355</v>
      </c>
      <c r="B86" s="18" t="s">
        <v>356</v>
      </c>
      <c r="C86" s="19">
        <v>0.4</v>
      </c>
      <c r="D86" s="19">
        <v>0.6</v>
      </c>
      <c r="E86" s="20">
        <v>0.8</v>
      </c>
      <c r="F86" s="350"/>
      <c r="G86" s="350"/>
      <c r="H86" s="350"/>
      <c r="I86" s="21" t="s">
        <v>242</v>
      </c>
      <c r="J86" s="19">
        <v>0.5</v>
      </c>
      <c r="K86" s="19">
        <v>0.6</v>
      </c>
      <c r="L86" s="19">
        <v>0.5</v>
      </c>
      <c r="M86" s="20">
        <v>0.8</v>
      </c>
    </row>
    <row r="87" spans="1:13" x14ac:dyDescent="0.3">
      <c r="A87" s="107" t="s">
        <v>357</v>
      </c>
      <c r="B87" s="18" t="s">
        <v>358</v>
      </c>
      <c r="C87" s="19">
        <v>0.05</v>
      </c>
      <c r="D87" s="19">
        <v>0.6</v>
      </c>
      <c r="E87" s="20">
        <v>0.73</v>
      </c>
      <c r="F87" s="350"/>
      <c r="G87" s="350"/>
      <c r="H87" s="350"/>
      <c r="I87" s="21" t="s">
        <v>359</v>
      </c>
      <c r="J87" s="19">
        <v>0.87</v>
      </c>
      <c r="K87" s="19">
        <v>0.39</v>
      </c>
      <c r="L87" s="19">
        <v>0.93</v>
      </c>
      <c r="M87" s="20">
        <v>0.73</v>
      </c>
    </row>
    <row r="88" spans="1:13" hidden="1" x14ac:dyDescent="0.3">
      <c r="A88" s="108" t="s">
        <v>360</v>
      </c>
      <c r="B88" s="18" t="s">
        <v>361</v>
      </c>
      <c r="C88" s="19">
        <v>0.02</v>
      </c>
      <c r="D88" s="19">
        <v>0.31</v>
      </c>
      <c r="E88" s="20">
        <v>0.25</v>
      </c>
      <c r="F88" s="350"/>
      <c r="G88" s="350"/>
      <c r="H88" s="350"/>
      <c r="I88" s="21" t="s">
        <v>362</v>
      </c>
      <c r="J88" s="19">
        <v>0.86</v>
      </c>
      <c r="K88" s="19">
        <v>0.17</v>
      </c>
      <c r="L88" s="19">
        <v>0.92</v>
      </c>
      <c r="M88" s="20">
        <v>0.31</v>
      </c>
    </row>
    <row r="89" spans="1:13" hidden="1" x14ac:dyDescent="0.3">
      <c r="A89" s="109" t="s">
        <v>363</v>
      </c>
      <c r="B89" s="18" t="s">
        <v>364</v>
      </c>
      <c r="C89" s="19">
        <v>0.36</v>
      </c>
      <c r="D89" s="19">
        <v>0.68</v>
      </c>
      <c r="E89" s="20">
        <v>0.93</v>
      </c>
      <c r="F89" s="350"/>
      <c r="G89" s="350"/>
      <c r="H89" s="350"/>
      <c r="I89" s="21" t="s">
        <v>130</v>
      </c>
      <c r="J89" s="19">
        <v>0.79</v>
      </c>
      <c r="K89" s="19">
        <v>0.65</v>
      </c>
      <c r="L89" s="19">
        <v>0.61</v>
      </c>
      <c r="M89" s="20">
        <v>0.93</v>
      </c>
    </row>
    <row r="90" spans="1:13" x14ac:dyDescent="0.3">
      <c r="A90" s="110" t="s">
        <v>365</v>
      </c>
      <c r="B90" s="18" t="s">
        <v>366</v>
      </c>
      <c r="C90" s="19">
        <v>7.0000000000000007E-2</v>
      </c>
      <c r="D90" s="19">
        <v>0.38</v>
      </c>
      <c r="E90" s="20">
        <v>0.5</v>
      </c>
      <c r="F90" s="350"/>
      <c r="G90" s="350"/>
      <c r="H90" s="350"/>
      <c r="I90" s="21" t="s">
        <v>344</v>
      </c>
      <c r="J90" s="19">
        <v>0.75</v>
      </c>
      <c r="K90" s="19">
        <v>0.28999999999999998</v>
      </c>
      <c r="L90" s="19">
        <v>0.86</v>
      </c>
      <c r="M90" s="20">
        <v>0.5</v>
      </c>
    </row>
    <row r="91" spans="1:13" hidden="1" x14ac:dyDescent="0.3">
      <c r="A91" s="111" t="s">
        <v>367</v>
      </c>
      <c r="B91" s="18" t="s">
        <v>368</v>
      </c>
      <c r="C91" s="19">
        <v>0.54</v>
      </c>
      <c r="D91" s="19">
        <v>0.17</v>
      </c>
      <c r="E91" s="20">
        <v>0.89</v>
      </c>
      <c r="F91" s="350"/>
      <c r="G91" s="350"/>
      <c r="H91" s="350"/>
      <c r="I91" s="21" t="s">
        <v>369</v>
      </c>
      <c r="J91" s="19">
        <v>0.76</v>
      </c>
      <c r="K91" s="19">
        <v>0.53</v>
      </c>
      <c r="L91" s="19">
        <v>0.81</v>
      </c>
      <c r="M91" s="20">
        <v>0.89</v>
      </c>
    </row>
    <row r="92" spans="1:13" x14ac:dyDescent="0.3">
      <c r="A92" s="112" t="s">
        <v>370</v>
      </c>
      <c r="B92" s="18" t="s">
        <v>371</v>
      </c>
      <c r="C92" s="19">
        <v>0.45</v>
      </c>
      <c r="D92" s="19">
        <v>0.4</v>
      </c>
      <c r="E92" s="20">
        <v>0.74</v>
      </c>
      <c r="F92" s="350"/>
      <c r="G92" s="350"/>
      <c r="H92" s="350"/>
      <c r="I92" s="21" t="s">
        <v>372</v>
      </c>
      <c r="J92" s="19">
        <v>0.4</v>
      </c>
      <c r="K92" s="19">
        <v>0.56999999999999995</v>
      </c>
      <c r="L92" s="19">
        <v>0.46</v>
      </c>
      <c r="M92" s="20">
        <v>0.74</v>
      </c>
    </row>
    <row r="93" spans="1:13" x14ac:dyDescent="0.3">
      <c r="A93" s="113" t="s">
        <v>373</v>
      </c>
      <c r="B93" s="18" t="s">
        <v>374</v>
      </c>
      <c r="C93" s="19">
        <v>0.3</v>
      </c>
      <c r="D93" s="19">
        <v>0.1</v>
      </c>
      <c r="E93" s="20">
        <v>0.5</v>
      </c>
      <c r="F93" s="350"/>
      <c r="G93" s="350"/>
      <c r="H93" s="350"/>
      <c r="I93" s="21" t="s">
        <v>177</v>
      </c>
      <c r="J93" s="19">
        <v>0.66</v>
      </c>
      <c r="K93" s="19">
        <v>0.3</v>
      </c>
      <c r="L93" s="19">
        <v>0.46</v>
      </c>
      <c r="M93" s="20">
        <v>0.74</v>
      </c>
    </row>
    <row r="94" spans="1:13" x14ac:dyDescent="0.3">
      <c r="A94" s="114" t="s">
        <v>375</v>
      </c>
      <c r="B94" s="18" t="s">
        <v>376</v>
      </c>
      <c r="C94" s="19">
        <v>0.31</v>
      </c>
      <c r="D94" s="19">
        <v>0.45</v>
      </c>
      <c r="E94" s="20">
        <v>0.65</v>
      </c>
      <c r="F94" s="350"/>
      <c r="G94" s="350"/>
      <c r="H94" s="350"/>
      <c r="I94" s="21" t="s">
        <v>124</v>
      </c>
      <c r="J94" s="19">
        <v>0.35</v>
      </c>
      <c r="K94" s="19">
        <v>0.48</v>
      </c>
      <c r="L94" s="19">
        <v>0.52</v>
      </c>
      <c r="M94" s="20">
        <v>0.65</v>
      </c>
    </row>
    <row r="95" spans="1:13" hidden="1" x14ac:dyDescent="0.3">
      <c r="A95" s="115" t="s">
        <v>377</v>
      </c>
      <c r="B95" s="18" t="s">
        <v>378</v>
      </c>
      <c r="C95" s="19">
        <v>0.24</v>
      </c>
      <c r="D95" s="19">
        <v>0.41</v>
      </c>
      <c r="E95" s="20">
        <v>0.91</v>
      </c>
      <c r="F95" s="350"/>
      <c r="G95" s="350"/>
      <c r="H95" s="350"/>
      <c r="I95" s="21" t="s">
        <v>352</v>
      </c>
      <c r="J95" s="19">
        <v>0.78</v>
      </c>
      <c r="K95" s="19">
        <v>0.56999999999999995</v>
      </c>
      <c r="L95" s="19">
        <v>0.74</v>
      </c>
      <c r="M95" s="20">
        <v>0.91</v>
      </c>
    </row>
    <row r="96" spans="1:13" hidden="1" x14ac:dyDescent="0.3">
      <c r="A96" s="116" t="s">
        <v>379</v>
      </c>
      <c r="B96" s="18" t="s">
        <v>380</v>
      </c>
      <c r="C96" s="19">
        <v>0.87</v>
      </c>
      <c r="D96" s="19">
        <v>0.36</v>
      </c>
      <c r="E96" s="20">
        <v>0.51</v>
      </c>
      <c r="F96" s="350"/>
      <c r="G96" s="350"/>
      <c r="H96" s="350"/>
      <c r="I96" s="21" t="s">
        <v>163</v>
      </c>
      <c r="J96" s="19">
        <v>0.66</v>
      </c>
      <c r="K96" s="19">
        <v>0.62</v>
      </c>
      <c r="L96" s="19">
        <v>0.57999999999999996</v>
      </c>
      <c r="M96" s="20">
        <v>0.87</v>
      </c>
    </row>
    <row r="97" spans="1:13" x14ac:dyDescent="0.3">
      <c r="A97" s="117" t="s">
        <v>381</v>
      </c>
      <c r="B97" s="18" t="s">
        <v>382</v>
      </c>
      <c r="C97" s="19">
        <v>0.47</v>
      </c>
      <c r="D97" s="19">
        <v>0.27</v>
      </c>
      <c r="E97" s="20">
        <v>0.23</v>
      </c>
      <c r="F97" s="350"/>
      <c r="G97" s="350"/>
      <c r="H97" s="350"/>
      <c r="I97" s="21" t="s">
        <v>383</v>
      </c>
      <c r="J97" s="19">
        <v>0.34</v>
      </c>
      <c r="K97" s="19">
        <v>0.35</v>
      </c>
      <c r="L97" s="19">
        <v>0.51</v>
      </c>
      <c r="M97" s="20">
        <v>0.47</v>
      </c>
    </row>
    <row r="98" spans="1:13" hidden="1" x14ac:dyDescent="0.3">
      <c r="A98" s="118" t="s">
        <v>384</v>
      </c>
      <c r="B98" s="18" t="s">
        <v>385</v>
      </c>
      <c r="C98" s="19">
        <v>0.89</v>
      </c>
      <c r="D98" s="19">
        <v>0.85</v>
      </c>
      <c r="E98" s="20">
        <v>0.79</v>
      </c>
      <c r="F98" s="350"/>
      <c r="G98" s="350"/>
      <c r="H98" s="350"/>
      <c r="I98" s="21" t="s">
        <v>386</v>
      </c>
      <c r="J98" s="19">
        <v>0.32</v>
      </c>
      <c r="K98" s="19">
        <v>0.84</v>
      </c>
      <c r="L98" s="19">
        <v>0.11</v>
      </c>
      <c r="M98" s="20">
        <v>0.89</v>
      </c>
    </row>
    <row r="99" spans="1:13" hidden="1" x14ac:dyDescent="0.3">
      <c r="A99" s="119" t="s">
        <v>387</v>
      </c>
      <c r="B99" s="18" t="s">
        <v>388</v>
      </c>
      <c r="C99" s="19">
        <v>0</v>
      </c>
      <c r="D99" s="19">
        <v>0.42</v>
      </c>
      <c r="E99" s="20">
        <v>0.31</v>
      </c>
      <c r="F99" s="350"/>
      <c r="G99" s="350"/>
      <c r="H99" s="350"/>
      <c r="I99" s="21" t="s">
        <v>389</v>
      </c>
      <c r="J99" s="19">
        <v>1</v>
      </c>
      <c r="K99" s="19">
        <v>0.21</v>
      </c>
      <c r="L99" s="19">
        <v>1</v>
      </c>
      <c r="M99" s="20">
        <v>0.42</v>
      </c>
    </row>
    <row r="100" spans="1:13" x14ac:dyDescent="0.3">
      <c r="A100" s="120" t="s">
        <v>390</v>
      </c>
      <c r="B100" s="18" t="s">
        <v>391</v>
      </c>
      <c r="C100" s="19">
        <v>0.53</v>
      </c>
      <c r="D100" s="19">
        <v>0.25</v>
      </c>
      <c r="E100" s="20">
        <v>0.25</v>
      </c>
      <c r="F100" s="350"/>
      <c r="G100" s="350"/>
      <c r="H100" s="350"/>
      <c r="I100" s="21" t="s">
        <v>392</v>
      </c>
      <c r="J100" s="19">
        <v>0.36</v>
      </c>
      <c r="K100" s="19">
        <v>0.39</v>
      </c>
      <c r="L100" s="19">
        <v>0.53</v>
      </c>
      <c r="M100" s="20">
        <v>0.53</v>
      </c>
    </row>
    <row r="101" spans="1:13" hidden="1" x14ac:dyDescent="0.3">
      <c r="A101" s="121" t="s">
        <v>393</v>
      </c>
      <c r="B101" s="18" t="s">
        <v>394</v>
      </c>
      <c r="C101" s="19">
        <v>0.8</v>
      </c>
      <c r="D101" s="19">
        <v>0.25</v>
      </c>
      <c r="E101" s="20">
        <v>0.33</v>
      </c>
      <c r="F101" s="350"/>
      <c r="G101" s="350"/>
      <c r="H101" s="350"/>
      <c r="I101" s="21" t="s">
        <v>395</v>
      </c>
      <c r="J101" s="19">
        <v>0.56999999999999995</v>
      </c>
      <c r="K101" s="19">
        <v>0.53</v>
      </c>
      <c r="L101" s="19">
        <v>0.68</v>
      </c>
      <c r="M101" s="20">
        <v>0.8</v>
      </c>
    </row>
    <row r="102" spans="1:13" hidden="1" x14ac:dyDescent="0.3">
      <c r="A102" s="122" t="s">
        <v>396</v>
      </c>
      <c r="B102" s="18" t="s">
        <v>397</v>
      </c>
      <c r="C102" s="19">
        <v>0.4</v>
      </c>
      <c r="D102" s="19">
        <v>1</v>
      </c>
      <c r="E102" s="20">
        <v>0</v>
      </c>
      <c r="F102" s="350"/>
      <c r="G102" s="350"/>
      <c r="H102" s="350"/>
      <c r="I102" s="21" t="s">
        <v>398</v>
      </c>
      <c r="J102" s="19">
        <v>1</v>
      </c>
      <c r="K102" s="19">
        <v>0.5</v>
      </c>
      <c r="L102" s="19">
        <v>1</v>
      </c>
      <c r="M102" s="20">
        <v>1</v>
      </c>
    </row>
    <row r="103" spans="1:13" hidden="1" x14ac:dyDescent="0.3">
      <c r="A103" s="123" t="s">
        <v>399</v>
      </c>
      <c r="B103" s="18" t="s">
        <v>400</v>
      </c>
      <c r="C103" s="19">
        <v>0.85</v>
      </c>
      <c r="D103" s="19">
        <v>0.56999999999999995</v>
      </c>
      <c r="E103" s="20">
        <v>0.94</v>
      </c>
      <c r="F103" s="350"/>
      <c r="G103" s="350"/>
      <c r="H103" s="350"/>
      <c r="I103" s="21" t="s">
        <v>401</v>
      </c>
      <c r="J103" s="19">
        <v>0.75</v>
      </c>
      <c r="K103" s="19">
        <v>0.75</v>
      </c>
      <c r="L103" s="19">
        <v>0.39</v>
      </c>
      <c r="M103" s="20">
        <v>0.94</v>
      </c>
    </row>
    <row r="104" spans="1:13" hidden="1" x14ac:dyDescent="0.3">
      <c r="A104" s="124" t="s">
        <v>402</v>
      </c>
      <c r="B104" s="18" t="s">
        <v>403</v>
      </c>
      <c r="C104" s="19">
        <v>0.76</v>
      </c>
      <c r="D104" s="19">
        <v>0.13</v>
      </c>
      <c r="E104" s="20">
        <v>0.28000000000000003</v>
      </c>
      <c r="F104" s="350"/>
      <c r="G104" s="350"/>
      <c r="H104" s="350"/>
      <c r="I104" s="21" t="s">
        <v>404</v>
      </c>
      <c r="J104" s="19">
        <v>0.71</v>
      </c>
      <c r="K104" s="19">
        <v>0.45</v>
      </c>
      <c r="L104" s="19">
        <v>0.83</v>
      </c>
      <c r="M104" s="20">
        <v>0.76</v>
      </c>
    </row>
    <row r="105" spans="1:13" hidden="1" x14ac:dyDescent="0.3">
      <c r="A105" s="125" t="s">
        <v>405</v>
      </c>
      <c r="B105" s="18" t="s">
        <v>406</v>
      </c>
      <c r="C105" s="19">
        <v>0.1</v>
      </c>
      <c r="D105" s="19">
        <v>0.45</v>
      </c>
      <c r="E105" s="20">
        <v>0.82</v>
      </c>
      <c r="F105" s="350"/>
      <c r="G105" s="350"/>
      <c r="H105" s="350"/>
      <c r="I105" s="21" t="s">
        <v>242</v>
      </c>
      <c r="J105" s="19">
        <v>0.79</v>
      </c>
      <c r="K105" s="19">
        <v>0.46</v>
      </c>
      <c r="L105" s="19">
        <v>0.88</v>
      </c>
      <c r="M105" s="20">
        <v>0.82</v>
      </c>
    </row>
    <row r="106" spans="1:13" hidden="1" x14ac:dyDescent="0.3">
      <c r="A106" s="126" t="s">
        <v>407</v>
      </c>
      <c r="B106" s="18" t="s">
        <v>408</v>
      </c>
      <c r="C106" s="19">
        <v>1</v>
      </c>
      <c r="D106" s="19">
        <v>0.67</v>
      </c>
      <c r="E106" s="20">
        <v>0.11</v>
      </c>
      <c r="F106" s="350"/>
      <c r="G106" s="350"/>
      <c r="H106" s="350"/>
      <c r="I106" s="21" t="s">
        <v>409</v>
      </c>
      <c r="J106" s="19">
        <v>1</v>
      </c>
      <c r="K106" s="19">
        <v>0.56000000000000005</v>
      </c>
      <c r="L106" s="19">
        <v>0.89</v>
      </c>
      <c r="M106" s="20">
        <v>1</v>
      </c>
    </row>
    <row r="107" spans="1:13" hidden="1" x14ac:dyDescent="0.3">
      <c r="A107" s="127" t="s">
        <v>410</v>
      </c>
      <c r="B107" s="18" t="s">
        <v>411</v>
      </c>
      <c r="C107" s="19">
        <v>1</v>
      </c>
      <c r="D107" s="19">
        <v>0.33</v>
      </c>
      <c r="E107" s="20">
        <v>0.64</v>
      </c>
      <c r="F107" s="350"/>
      <c r="G107" s="350"/>
      <c r="H107" s="350"/>
      <c r="I107" s="21" t="s">
        <v>412</v>
      </c>
      <c r="J107" s="19">
        <v>1</v>
      </c>
      <c r="K107" s="19">
        <v>0.67</v>
      </c>
      <c r="L107" s="19">
        <v>0.67</v>
      </c>
      <c r="M107" s="20">
        <v>1</v>
      </c>
    </row>
    <row r="108" spans="1:13" hidden="1" x14ac:dyDescent="0.3">
      <c r="A108" s="128" t="s">
        <v>413</v>
      </c>
      <c r="B108" s="18" t="s">
        <v>414</v>
      </c>
      <c r="C108" s="19">
        <v>0.98</v>
      </c>
      <c r="D108" s="19">
        <v>0.38</v>
      </c>
      <c r="E108" s="20">
        <v>0.5</v>
      </c>
      <c r="F108" s="350"/>
      <c r="G108" s="350"/>
      <c r="H108" s="350"/>
      <c r="I108" s="21" t="s">
        <v>154</v>
      </c>
      <c r="J108" s="19">
        <v>0.95</v>
      </c>
      <c r="K108" s="19">
        <v>0.68</v>
      </c>
      <c r="L108" s="19">
        <v>0.62</v>
      </c>
      <c r="M108" s="20">
        <v>0.98</v>
      </c>
    </row>
    <row r="109" spans="1:13" hidden="1" x14ac:dyDescent="0.3">
      <c r="A109" s="129" t="s">
        <v>415</v>
      </c>
      <c r="B109" s="18" t="s">
        <v>416</v>
      </c>
      <c r="C109" s="19">
        <v>0</v>
      </c>
      <c r="D109" s="19">
        <v>0.26</v>
      </c>
      <c r="E109" s="20">
        <v>0.15</v>
      </c>
      <c r="F109" s="350"/>
      <c r="G109" s="350"/>
      <c r="H109" s="350"/>
      <c r="I109" s="21" t="s">
        <v>417</v>
      </c>
      <c r="J109" s="19">
        <v>1</v>
      </c>
      <c r="K109" s="19">
        <v>0.13</v>
      </c>
      <c r="L109" s="19">
        <v>1</v>
      </c>
      <c r="M109" s="20">
        <v>0.26</v>
      </c>
    </row>
    <row r="110" spans="1:13" hidden="1" x14ac:dyDescent="0.3">
      <c r="A110" s="130" t="s">
        <v>418</v>
      </c>
      <c r="B110" s="18" t="s">
        <v>419</v>
      </c>
      <c r="C110" s="19">
        <v>0.8</v>
      </c>
      <c r="D110" s="19">
        <v>0.5</v>
      </c>
      <c r="E110" s="20">
        <v>0.2</v>
      </c>
      <c r="F110" s="350"/>
      <c r="G110" s="350"/>
      <c r="H110" s="350"/>
      <c r="I110" s="21" t="s">
        <v>151</v>
      </c>
      <c r="J110" s="19">
        <v>0.61</v>
      </c>
      <c r="K110" s="19">
        <v>0.5</v>
      </c>
      <c r="L110" s="19">
        <v>0.76</v>
      </c>
      <c r="M110" s="20">
        <v>0.8</v>
      </c>
    </row>
    <row r="111" spans="1:13" hidden="1" x14ac:dyDescent="0.3">
      <c r="A111" s="131" t="s">
        <v>420</v>
      </c>
      <c r="B111" s="18" t="s">
        <v>421</v>
      </c>
      <c r="C111" s="19">
        <v>0.53</v>
      </c>
      <c r="D111" s="19">
        <v>0.33</v>
      </c>
      <c r="E111" s="20">
        <v>0.04</v>
      </c>
      <c r="F111" s="350"/>
      <c r="G111" s="350"/>
      <c r="H111" s="350"/>
      <c r="I111" s="21" t="s">
        <v>422</v>
      </c>
      <c r="J111" s="19">
        <v>0.85</v>
      </c>
      <c r="K111" s="19">
        <v>0.28999999999999998</v>
      </c>
      <c r="L111" s="19">
        <v>0.92</v>
      </c>
      <c r="M111" s="20">
        <v>0.53</v>
      </c>
    </row>
    <row r="112" spans="1:13" x14ac:dyDescent="0.3">
      <c r="A112" s="132" t="s">
        <v>423</v>
      </c>
      <c r="B112" s="18" t="s">
        <v>424</v>
      </c>
      <c r="C112" s="19">
        <v>0.69</v>
      </c>
      <c r="D112" s="19">
        <v>0.43</v>
      </c>
      <c r="E112" s="20">
        <v>0.3</v>
      </c>
      <c r="F112" s="350"/>
      <c r="G112" s="350"/>
      <c r="H112" s="350"/>
      <c r="I112" s="21" t="s">
        <v>230</v>
      </c>
      <c r="J112" s="19">
        <v>0.39</v>
      </c>
      <c r="K112" s="19">
        <v>0.49</v>
      </c>
      <c r="L112" s="19">
        <v>0.56000000000000005</v>
      </c>
      <c r="M112" s="20">
        <v>0.69</v>
      </c>
    </row>
    <row r="113" spans="1:13" x14ac:dyDescent="0.3">
      <c r="A113" s="133" t="s">
        <v>425</v>
      </c>
      <c r="B113" s="18" t="s">
        <v>426</v>
      </c>
      <c r="C113" s="19">
        <v>0.11</v>
      </c>
      <c r="D113" s="19">
        <v>0.3</v>
      </c>
      <c r="E113" s="20">
        <v>0.24</v>
      </c>
      <c r="F113" s="350"/>
      <c r="G113" s="350"/>
      <c r="H113" s="350"/>
      <c r="I113" s="21" t="s">
        <v>427</v>
      </c>
      <c r="J113" s="19">
        <v>0.48</v>
      </c>
      <c r="K113" s="19">
        <v>0.2</v>
      </c>
      <c r="L113" s="19">
        <v>0.65</v>
      </c>
      <c r="M113" s="20">
        <v>0.3</v>
      </c>
    </row>
    <row r="114" spans="1:13" x14ac:dyDescent="0.3">
      <c r="A114" s="134" t="s">
        <v>428</v>
      </c>
      <c r="B114" s="18" t="s">
        <v>429</v>
      </c>
      <c r="C114" s="19">
        <v>0.48</v>
      </c>
      <c r="D114" s="19">
        <v>0.71</v>
      </c>
      <c r="E114" s="20">
        <v>0.38</v>
      </c>
      <c r="F114" s="350"/>
      <c r="G114" s="350"/>
      <c r="H114" s="350"/>
      <c r="I114" s="21" t="s">
        <v>430</v>
      </c>
      <c r="J114" s="19">
        <v>0.37</v>
      </c>
      <c r="K114" s="19">
        <v>0.55000000000000004</v>
      </c>
      <c r="L114" s="19">
        <v>0.47</v>
      </c>
      <c r="M114" s="20">
        <v>0.71</v>
      </c>
    </row>
    <row r="115" spans="1:13" hidden="1" x14ac:dyDescent="0.3">
      <c r="A115" s="135" t="s">
        <v>431</v>
      </c>
      <c r="B115" s="18" t="s">
        <v>432</v>
      </c>
      <c r="C115" s="19">
        <v>1</v>
      </c>
      <c r="D115" s="19">
        <v>0.78</v>
      </c>
      <c r="E115" s="20">
        <v>0.5</v>
      </c>
      <c r="F115" s="350"/>
      <c r="G115" s="350"/>
      <c r="H115" s="350"/>
      <c r="I115" s="21" t="s">
        <v>284</v>
      </c>
      <c r="J115" s="19">
        <v>1</v>
      </c>
      <c r="K115" s="19">
        <v>0.75</v>
      </c>
      <c r="L115" s="19">
        <v>0.5</v>
      </c>
      <c r="M115" s="20">
        <v>1</v>
      </c>
    </row>
    <row r="116" spans="1:13" hidden="1" x14ac:dyDescent="0.3">
      <c r="A116" s="136" t="s">
        <v>433</v>
      </c>
      <c r="B116" s="18" t="s">
        <v>434</v>
      </c>
      <c r="C116" s="19">
        <v>0.5</v>
      </c>
      <c r="D116" s="19">
        <v>0</v>
      </c>
      <c r="E116" s="20">
        <v>0.13</v>
      </c>
      <c r="F116" s="350"/>
      <c r="G116" s="350"/>
      <c r="H116" s="350"/>
      <c r="I116" s="21" t="s">
        <v>281</v>
      </c>
      <c r="J116" s="19">
        <v>1</v>
      </c>
      <c r="K116" s="19">
        <v>0.25</v>
      </c>
      <c r="L116" s="19">
        <v>1</v>
      </c>
      <c r="M116" s="20">
        <v>0.5</v>
      </c>
    </row>
    <row r="117" spans="1:13" hidden="1" x14ac:dyDescent="0.3">
      <c r="A117" s="137" t="s">
        <v>435</v>
      </c>
      <c r="B117" s="18" t="s">
        <v>436</v>
      </c>
      <c r="C117" s="19">
        <v>0.87</v>
      </c>
      <c r="D117" s="19">
        <v>0.72</v>
      </c>
      <c r="E117" s="20">
        <v>0.53</v>
      </c>
      <c r="F117" s="350"/>
      <c r="G117" s="350"/>
      <c r="H117" s="350"/>
      <c r="I117" s="21" t="s">
        <v>195</v>
      </c>
      <c r="J117" s="19">
        <v>0.56999999999999995</v>
      </c>
      <c r="K117" s="19">
        <v>0.7</v>
      </c>
      <c r="L117" s="19">
        <v>0.39</v>
      </c>
      <c r="M117" s="20">
        <v>0.87</v>
      </c>
    </row>
    <row r="118" spans="1:13" x14ac:dyDescent="0.3">
      <c r="A118" s="138" t="s">
        <v>437</v>
      </c>
      <c r="B118" s="18" t="s">
        <v>438</v>
      </c>
      <c r="C118" s="19">
        <v>0.63</v>
      </c>
      <c r="D118" s="19">
        <v>0.48</v>
      </c>
      <c r="E118" s="20">
        <v>0.45</v>
      </c>
      <c r="F118" s="350"/>
      <c r="G118" s="350"/>
      <c r="H118" s="350"/>
      <c r="I118" s="21" t="s">
        <v>439</v>
      </c>
      <c r="J118" s="19">
        <v>0.19</v>
      </c>
      <c r="K118" s="19">
        <v>0.54</v>
      </c>
      <c r="L118" s="19">
        <v>0.28000000000000003</v>
      </c>
      <c r="M118" s="20">
        <v>0.63</v>
      </c>
    </row>
    <row r="119" spans="1:13" hidden="1" x14ac:dyDescent="0.3">
      <c r="A119" s="139" t="s">
        <v>440</v>
      </c>
      <c r="B119" s="18" t="s">
        <v>441</v>
      </c>
      <c r="C119" s="19">
        <v>0.8</v>
      </c>
      <c r="D119" s="19">
        <v>0.33</v>
      </c>
      <c r="E119" s="20">
        <v>0</v>
      </c>
      <c r="F119" s="350"/>
      <c r="G119" s="350"/>
      <c r="H119" s="350"/>
      <c r="I119" s="21" t="s">
        <v>442</v>
      </c>
      <c r="J119" s="19">
        <v>1</v>
      </c>
      <c r="K119" s="19">
        <v>0.4</v>
      </c>
      <c r="L119" s="19">
        <v>1</v>
      </c>
      <c r="M119" s="20">
        <v>0.8</v>
      </c>
    </row>
    <row r="120" spans="1:13" hidden="1" x14ac:dyDescent="0.3">
      <c r="A120" s="140" t="s">
        <v>443</v>
      </c>
      <c r="B120" s="18" t="s">
        <v>444</v>
      </c>
      <c r="C120" s="19">
        <v>0.91</v>
      </c>
      <c r="D120" s="19">
        <v>0.45</v>
      </c>
      <c r="E120" s="20">
        <v>0.32</v>
      </c>
      <c r="F120" s="350"/>
      <c r="G120" s="350"/>
      <c r="H120" s="350"/>
      <c r="I120" s="21" t="s">
        <v>445</v>
      </c>
      <c r="J120" s="19">
        <v>0.78</v>
      </c>
      <c r="K120" s="19">
        <v>0.62</v>
      </c>
      <c r="L120" s="19">
        <v>0.65</v>
      </c>
      <c r="M120" s="20">
        <v>0.91</v>
      </c>
    </row>
    <row r="121" spans="1:13" x14ac:dyDescent="0.3">
      <c r="A121" s="141" t="s">
        <v>446</v>
      </c>
      <c r="B121" s="18" t="s">
        <v>447</v>
      </c>
      <c r="C121" s="19">
        <v>0.54</v>
      </c>
      <c r="D121" s="19">
        <v>0.2</v>
      </c>
      <c r="E121" s="20">
        <v>0.14000000000000001</v>
      </c>
      <c r="F121" s="350"/>
      <c r="G121" s="350"/>
      <c r="H121" s="350"/>
      <c r="I121" s="21" t="s">
        <v>383</v>
      </c>
      <c r="J121" s="19">
        <v>0.59</v>
      </c>
      <c r="K121" s="19">
        <v>0.34</v>
      </c>
      <c r="L121" s="19">
        <v>0.74</v>
      </c>
      <c r="M121" s="20">
        <v>0.54</v>
      </c>
    </row>
    <row r="122" spans="1:13" x14ac:dyDescent="0.3">
      <c r="A122" s="142" t="s">
        <v>448</v>
      </c>
      <c r="B122" s="18" t="s">
        <v>449</v>
      </c>
      <c r="C122" s="19">
        <v>0.74</v>
      </c>
      <c r="D122" s="19">
        <v>0.2</v>
      </c>
      <c r="E122" s="20">
        <v>0.64</v>
      </c>
      <c r="F122" s="350"/>
      <c r="G122" s="350"/>
      <c r="H122" s="350"/>
      <c r="I122" s="21" t="s">
        <v>450</v>
      </c>
      <c r="J122" s="19">
        <v>0.57999999999999996</v>
      </c>
      <c r="K122" s="19">
        <v>0.47</v>
      </c>
      <c r="L122" s="19">
        <v>0.73</v>
      </c>
      <c r="M122" s="20">
        <v>0.74</v>
      </c>
    </row>
    <row r="123" spans="1:13" x14ac:dyDescent="0.3">
      <c r="A123" s="143" t="s">
        <v>451</v>
      </c>
      <c r="B123" s="18" t="s">
        <v>452</v>
      </c>
      <c r="C123" s="19">
        <v>0.44</v>
      </c>
      <c r="D123" s="19">
        <v>0.16</v>
      </c>
      <c r="E123" s="20">
        <v>0.39</v>
      </c>
      <c r="F123" s="350"/>
      <c r="G123" s="350"/>
      <c r="H123" s="350"/>
      <c r="I123" s="21" t="s">
        <v>450</v>
      </c>
      <c r="J123" s="19">
        <v>0.46</v>
      </c>
      <c r="K123" s="19">
        <v>0.3</v>
      </c>
      <c r="L123" s="19">
        <v>0.63</v>
      </c>
      <c r="M123" s="20">
        <v>0.44</v>
      </c>
    </row>
    <row r="124" spans="1:13" x14ac:dyDescent="0.3">
      <c r="A124" s="144" t="s">
        <v>453</v>
      </c>
      <c r="B124" s="18" t="s">
        <v>454</v>
      </c>
      <c r="C124" s="19">
        <v>0.33</v>
      </c>
      <c r="D124" s="19">
        <v>0.41</v>
      </c>
      <c r="E124" s="20">
        <v>0.45</v>
      </c>
      <c r="F124" s="350"/>
      <c r="G124" s="350"/>
      <c r="H124" s="350"/>
      <c r="I124" s="21" t="s">
        <v>247</v>
      </c>
      <c r="J124" s="19">
        <v>0.16</v>
      </c>
      <c r="K124" s="19">
        <v>0.39</v>
      </c>
      <c r="L124" s="19">
        <v>0.27</v>
      </c>
      <c r="M124" s="20">
        <v>0.45</v>
      </c>
    </row>
    <row r="125" spans="1:13" x14ac:dyDescent="0.3">
      <c r="A125" s="145" t="s">
        <v>455</v>
      </c>
      <c r="B125" s="18" t="s">
        <v>456</v>
      </c>
      <c r="C125" s="19">
        <v>0.37</v>
      </c>
      <c r="D125" s="19">
        <v>0.62</v>
      </c>
      <c r="E125" s="20">
        <v>0.63</v>
      </c>
      <c r="F125" s="350"/>
      <c r="G125" s="350"/>
      <c r="H125" s="350"/>
      <c r="I125" s="21" t="s">
        <v>457</v>
      </c>
      <c r="J125" s="19">
        <v>0.25</v>
      </c>
      <c r="K125" s="19">
        <v>0.5</v>
      </c>
      <c r="L125" s="19">
        <v>0.41</v>
      </c>
      <c r="M125" s="20">
        <v>0.63</v>
      </c>
    </row>
    <row r="126" spans="1:13" hidden="1" x14ac:dyDescent="0.3">
      <c r="A126" s="146" t="s">
        <v>458</v>
      </c>
      <c r="B126" s="18" t="s">
        <v>459</v>
      </c>
      <c r="C126" s="19">
        <v>0.66</v>
      </c>
      <c r="D126" s="19">
        <v>0.7</v>
      </c>
      <c r="E126" s="20">
        <v>0.76</v>
      </c>
      <c r="F126" s="350"/>
      <c r="G126" s="350"/>
      <c r="H126" s="350"/>
      <c r="I126" s="21" t="s">
        <v>460</v>
      </c>
      <c r="J126" s="19">
        <v>0.18</v>
      </c>
      <c r="K126" s="19">
        <v>0.71</v>
      </c>
      <c r="L126" s="19">
        <v>0.13</v>
      </c>
      <c r="M126" s="20">
        <v>0.76</v>
      </c>
    </row>
    <row r="127" spans="1:13" x14ac:dyDescent="0.3">
      <c r="A127" s="147" t="s">
        <v>461</v>
      </c>
      <c r="B127" s="18" t="s">
        <v>462</v>
      </c>
      <c r="C127" s="19">
        <v>0.56999999999999995</v>
      </c>
      <c r="D127" s="19">
        <v>0.64</v>
      </c>
      <c r="E127" s="20">
        <v>0.69</v>
      </c>
      <c r="F127" s="350"/>
      <c r="G127" s="350"/>
      <c r="H127" s="350"/>
      <c r="I127" s="21" t="s">
        <v>139</v>
      </c>
      <c r="J127" s="19">
        <v>0.16</v>
      </c>
      <c r="K127" s="19">
        <v>0.63</v>
      </c>
      <c r="L127" s="19">
        <v>0.18</v>
      </c>
      <c r="M127" s="20">
        <v>0.69</v>
      </c>
    </row>
    <row r="128" spans="1:13" hidden="1" x14ac:dyDescent="0.3">
      <c r="A128" s="148" t="s">
        <v>463</v>
      </c>
      <c r="B128" s="18" t="s">
        <v>464</v>
      </c>
      <c r="C128" s="19">
        <v>0</v>
      </c>
      <c r="D128" s="19">
        <v>0.42</v>
      </c>
      <c r="E128" s="20">
        <v>0.24</v>
      </c>
      <c r="F128" s="350"/>
      <c r="G128" s="350"/>
      <c r="H128" s="350"/>
      <c r="I128" s="21" t="s">
        <v>417</v>
      </c>
      <c r="J128" s="19">
        <v>1</v>
      </c>
      <c r="K128" s="19">
        <v>0.21</v>
      </c>
      <c r="L128" s="19">
        <v>1</v>
      </c>
      <c r="M128" s="20">
        <v>0.42</v>
      </c>
    </row>
    <row r="129" spans="1:13" hidden="1" x14ac:dyDescent="0.3">
      <c r="A129" s="149" t="s">
        <v>465</v>
      </c>
      <c r="B129" s="18" t="s">
        <v>466</v>
      </c>
      <c r="C129" s="19">
        <v>0.93</v>
      </c>
      <c r="D129" s="19">
        <v>0.53</v>
      </c>
      <c r="E129" s="20">
        <v>0.18</v>
      </c>
      <c r="F129" s="350"/>
      <c r="G129" s="350"/>
      <c r="H129" s="350"/>
      <c r="I129" s="21" t="s">
        <v>467</v>
      </c>
      <c r="J129" s="19">
        <v>0.84</v>
      </c>
      <c r="K129" s="19">
        <v>0.55000000000000004</v>
      </c>
      <c r="L129" s="19">
        <v>0.81</v>
      </c>
      <c r="M129" s="20">
        <v>0.93</v>
      </c>
    </row>
    <row r="130" spans="1:13" hidden="1" x14ac:dyDescent="0.3">
      <c r="A130" s="150" t="s">
        <v>468</v>
      </c>
      <c r="B130" s="18" t="s">
        <v>469</v>
      </c>
      <c r="C130" s="19">
        <v>0.89</v>
      </c>
      <c r="D130" s="19">
        <v>0</v>
      </c>
      <c r="E130" s="20">
        <v>0.13</v>
      </c>
      <c r="F130" s="350"/>
      <c r="G130" s="350"/>
      <c r="H130" s="350"/>
      <c r="I130" s="21" t="s">
        <v>470</v>
      </c>
      <c r="J130" s="19">
        <v>1</v>
      </c>
      <c r="K130" s="19">
        <v>0.45</v>
      </c>
      <c r="L130" s="19">
        <v>1</v>
      </c>
      <c r="M130" s="20">
        <v>0.89</v>
      </c>
    </row>
    <row r="131" spans="1:13" hidden="1" x14ac:dyDescent="0.3">
      <c r="A131" s="151" t="s">
        <v>471</v>
      </c>
      <c r="B131" s="18" t="s">
        <v>472</v>
      </c>
      <c r="C131" s="19">
        <v>1</v>
      </c>
      <c r="D131" s="19">
        <v>0.96</v>
      </c>
      <c r="E131" s="20">
        <v>0</v>
      </c>
      <c r="F131" s="350"/>
      <c r="G131" s="350"/>
      <c r="H131" s="350"/>
      <c r="I131" s="21" t="s">
        <v>473</v>
      </c>
      <c r="J131" s="19">
        <v>1</v>
      </c>
      <c r="K131" s="19">
        <v>0.5</v>
      </c>
      <c r="L131" s="19">
        <v>1</v>
      </c>
      <c r="M131" s="20">
        <v>1</v>
      </c>
    </row>
    <row r="132" spans="1:13" x14ac:dyDescent="0.3">
      <c r="A132" s="152" t="s">
        <v>474</v>
      </c>
      <c r="B132" s="18" t="s">
        <v>475</v>
      </c>
      <c r="C132" s="19">
        <v>0.65</v>
      </c>
      <c r="D132" s="19">
        <v>0.48</v>
      </c>
      <c r="E132" s="20">
        <v>0.36</v>
      </c>
      <c r="F132" s="350"/>
      <c r="G132" s="350"/>
      <c r="H132" s="350"/>
      <c r="I132" s="21" t="s">
        <v>476</v>
      </c>
      <c r="J132" s="19">
        <v>0.3</v>
      </c>
      <c r="K132" s="19">
        <v>0.5</v>
      </c>
      <c r="L132" s="19">
        <v>0.45</v>
      </c>
      <c r="M132" s="20">
        <v>0.65</v>
      </c>
    </row>
    <row r="133" spans="1:13" x14ac:dyDescent="0.3">
      <c r="A133" s="153" t="s">
        <v>477</v>
      </c>
      <c r="B133" s="18" t="s">
        <v>478</v>
      </c>
      <c r="C133" s="19">
        <v>0.28999999999999998</v>
      </c>
      <c r="D133" s="19">
        <v>0.21</v>
      </c>
      <c r="E133" s="20">
        <v>0.13</v>
      </c>
      <c r="F133" s="350"/>
      <c r="G133" s="350"/>
      <c r="H133" s="350"/>
      <c r="I133" s="21" t="s">
        <v>151</v>
      </c>
      <c r="J133" s="19">
        <v>0.39</v>
      </c>
      <c r="K133" s="19">
        <v>0.21</v>
      </c>
      <c r="L133" s="19">
        <v>0.56000000000000005</v>
      </c>
      <c r="M133" s="20">
        <v>0.28999999999999998</v>
      </c>
    </row>
    <row r="134" spans="1:13" hidden="1" x14ac:dyDescent="0.3">
      <c r="A134" s="154" t="s">
        <v>479</v>
      </c>
      <c r="B134" s="18" t="s">
        <v>480</v>
      </c>
      <c r="C134" s="19">
        <v>0.64</v>
      </c>
      <c r="D134" s="19">
        <v>0.76</v>
      </c>
      <c r="E134" s="20">
        <v>0.68</v>
      </c>
      <c r="F134" s="350"/>
      <c r="G134" s="350"/>
      <c r="H134" s="350"/>
      <c r="I134" s="21" t="s">
        <v>481</v>
      </c>
      <c r="J134" s="19">
        <v>0.19</v>
      </c>
      <c r="K134" s="19">
        <v>0.7</v>
      </c>
      <c r="L134" s="19">
        <v>0.16</v>
      </c>
      <c r="M134" s="20">
        <v>0.76</v>
      </c>
    </row>
    <row r="135" spans="1:13" hidden="1" x14ac:dyDescent="0.3">
      <c r="A135" s="155" t="s">
        <v>482</v>
      </c>
      <c r="B135" s="18" t="s">
        <v>483</v>
      </c>
      <c r="C135" s="19">
        <v>0.76</v>
      </c>
      <c r="D135" s="19">
        <v>0.6</v>
      </c>
      <c r="E135" s="20">
        <v>0.42</v>
      </c>
      <c r="F135" s="350"/>
      <c r="G135" s="350"/>
      <c r="H135" s="350"/>
      <c r="I135" s="21" t="s">
        <v>284</v>
      </c>
      <c r="J135" s="19">
        <v>0.41</v>
      </c>
      <c r="K135" s="19">
        <v>0.59</v>
      </c>
      <c r="L135" s="19">
        <v>0.45</v>
      </c>
      <c r="M135" s="20">
        <v>0.76</v>
      </c>
    </row>
    <row r="136" spans="1:13" hidden="1" x14ac:dyDescent="0.3">
      <c r="A136" s="156" t="s">
        <v>484</v>
      </c>
      <c r="B136" s="18" t="s">
        <v>485</v>
      </c>
      <c r="C136" s="19">
        <v>0.94</v>
      </c>
      <c r="D136" s="19">
        <v>0.73</v>
      </c>
      <c r="E136" s="20">
        <v>0.8</v>
      </c>
      <c r="F136" s="350"/>
      <c r="G136" s="350"/>
      <c r="H136" s="350"/>
      <c r="I136" s="21" t="s">
        <v>486</v>
      </c>
      <c r="J136" s="19">
        <v>0.62</v>
      </c>
      <c r="K136" s="19">
        <v>0.84</v>
      </c>
      <c r="L136" s="19">
        <v>0.22</v>
      </c>
      <c r="M136" s="20">
        <v>0.94</v>
      </c>
    </row>
    <row r="137" spans="1:13" hidden="1" x14ac:dyDescent="0.3">
      <c r="A137" s="157" t="s">
        <v>487</v>
      </c>
      <c r="B137" s="18" t="s">
        <v>488</v>
      </c>
      <c r="C137" s="19">
        <v>1</v>
      </c>
      <c r="D137" s="19">
        <v>1</v>
      </c>
      <c r="E137" s="20">
        <v>0.6</v>
      </c>
      <c r="F137" s="350"/>
      <c r="G137" s="350"/>
      <c r="H137" s="350"/>
      <c r="I137" s="21" t="s">
        <v>255</v>
      </c>
      <c r="J137" s="19">
        <v>1</v>
      </c>
      <c r="K137" s="19">
        <v>0.8</v>
      </c>
      <c r="L137" s="19">
        <v>0.4</v>
      </c>
      <c r="M137" s="20">
        <v>1</v>
      </c>
    </row>
    <row r="138" spans="1:13" hidden="1" x14ac:dyDescent="0.3">
      <c r="A138" s="158" t="s">
        <v>489</v>
      </c>
      <c r="B138" s="18" t="s">
        <v>490</v>
      </c>
      <c r="C138" s="19">
        <v>1</v>
      </c>
      <c r="D138" s="19">
        <v>0.94</v>
      </c>
      <c r="E138" s="20">
        <v>0</v>
      </c>
      <c r="F138" s="350"/>
      <c r="G138" s="350"/>
      <c r="H138" s="350"/>
      <c r="I138" s="21" t="s">
        <v>236</v>
      </c>
      <c r="J138" s="19">
        <v>1</v>
      </c>
      <c r="K138" s="19">
        <v>0.5</v>
      </c>
      <c r="L138" s="19">
        <v>1</v>
      </c>
      <c r="M138" s="20">
        <v>1</v>
      </c>
    </row>
    <row r="139" spans="1:13" hidden="1" x14ac:dyDescent="0.3">
      <c r="A139" s="159" t="s">
        <v>491</v>
      </c>
      <c r="B139" s="18" t="s">
        <v>492</v>
      </c>
      <c r="C139" s="19">
        <v>1</v>
      </c>
      <c r="D139" s="19">
        <v>0.03</v>
      </c>
      <c r="E139" s="20">
        <v>0</v>
      </c>
      <c r="F139" s="350"/>
      <c r="G139" s="350"/>
      <c r="H139" s="350"/>
      <c r="I139" s="21" t="s">
        <v>392</v>
      </c>
      <c r="J139" s="19">
        <v>1</v>
      </c>
      <c r="K139" s="19">
        <v>0.5</v>
      </c>
      <c r="L139" s="19">
        <v>1</v>
      </c>
      <c r="M139" s="20">
        <v>1</v>
      </c>
    </row>
    <row r="140" spans="1:13" hidden="1" x14ac:dyDescent="0.3">
      <c r="A140" s="160" t="s">
        <v>493</v>
      </c>
      <c r="B140" s="18" t="s">
        <v>494</v>
      </c>
      <c r="C140" s="19">
        <v>0.89</v>
      </c>
      <c r="D140" s="19">
        <v>0.44</v>
      </c>
      <c r="E140" s="20">
        <v>0.48</v>
      </c>
      <c r="F140" s="350"/>
      <c r="G140" s="350"/>
      <c r="H140" s="350"/>
      <c r="I140" s="21" t="s">
        <v>495</v>
      </c>
      <c r="J140" s="19">
        <v>0.68</v>
      </c>
      <c r="K140" s="19">
        <v>0.67</v>
      </c>
      <c r="L140" s="19">
        <v>0.5</v>
      </c>
      <c r="M140" s="20">
        <v>0.89</v>
      </c>
    </row>
    <row r="141" spans="1:13" hidden="1" x14ac:dyDescent="0.3">
      <c r="A141" s="161" t="s">
        <v>496</v>
      </c>
      <c r="B141" s="18" t="s">
        <v>497</v>
      </c>
      <c r="C141" s="19">
        <v>0</v>
      </c>
      <c r="D141" s="19">
        <v>0.75</v>
      </c>
      <c r="E141" s="20">
        <v>1</v>
      </c>
      <c r="F141" s="350"/>
      <c r="G141" s="350"/>
      <c r="H141" s="350"/>
      <c r="I141" s="21" t="s">
        <v>498</v>
      </c>
      <c r="J141" s="19">
        <v>1</v>
      </c>
      <c r="K141" s="19">
        <v>0.5</v>
      </c>
      <c r="L141" s="19">
        <v>1</v>
      </c>
      <c r="M141" s="20">
        <v>1</v>
      </c>
    </row>
    <row r="142" spans="1:13" x14ac:dyDescent="0.3">
      <c r="A142" s="162" t="s">
        <v>499</v>
      </c>
      <c r="B142" s="18" t="s">
        <v>500</v>
      </c>
      <c r="C142" s="19">
        <v>0.35</v>
      </c>
      <c r="D142" s="19">
        <v>0.15</v>
      </c>
      <c r="E142" s="20">
        <v>0.13</v>
      </c>
      <c r="F142" s="350"/>
      <c r="G142" s="350"/>
      <c r="H142" s="350"/>
      <c r="I142" s="21" t="s">
        <v>501</v>
      </c>
      <c r="J142" s="19">
        <v>0.47</v>
      </c>
      <c r="K142" s="19">
        <v>0.24</v>
      </c>
      <c r="L142" s="19">
        <v>0.64</v>
      </c>
      <c r="M142" s="20">
        <v>0.35</v>
      </c>
    </row>
    <row r="143" spans="1:13" hidden="1" x14ac:dyDescent="0.3">
      <c r="A143" s="163" t="s">
        <v>502</v>
      </c>
      <c r="B143" s="18" t="s">
        <v>503</v>
      </c>
      <c r="C143" s="19">
        <v>0.77</v>
      </c>
      <c r="D143" s="19">
        <v>0.12</v>
      </c>
      <c r="E143" s="20">
        <v>0.23</v>
      </c>
      <c r="F143" s="350"/>
      <c r="G143" s="350"/>
      <c r="H143" s="350"/>
      <c r="I143" s="21" t="s">
        <v>192</v>
      </c>
      <c r="J143" s="19">
        <v>0.74</v>
      </c>
      <c r="K143" s="19">
        <v>0.44</v>
      </c>
      <c r="L143" s="19">
        <v>0.85</v>
      </c>
      <c r="M143" s="20">
        <v>0.77</v>
      </c>
    </row>
    <row r="144" spans="1:13" hidden="1" x14ac:dyDescent="0.3">
      <c r="A144" s="164" t="s">
        <v>504</v>
      </c>
      <c r="B144" s="18" t="s">
        <v>505</v>
      </c>
      <c r="C144" s="19">
        <v>0</v>
      </c>
      <c r="D144" s="19">
        <v>0.8</v>
      </c>
      <c r="E144" s="20">
        <v>0.6</v>
      </c>
      <c r="F144" s="350"/>
      <c r="G144" s="350"/>
      <c r="H144" s="350"/>
      <c r="I144" s="21" t="s">
        <v>506</v>
      </c>
      <c r="J144" s="19">
        <v>1</v>
      </c>
      <c r="K144" s="19">
        <v>0.4</v>
      </c>
      <c r="L144" s="19">
        <v>1</v>
      </c>
      <c r="M144" s="20">
        <v>0.8</v>
      </c>
    </row>
    <row r="145" spans="1:13" hidden="1" x14ac:dyDescent="0.3">
      <c r="A145" s="165" t="s">
        <v>507</v>
      </c>
      <c r="B145" s="18" t="s">
        <v>508</v>
      </c>
      <c r="C145" s="19">
        <v>0.59</v>
      </c>
      <c r="D145" s="19">
        <v>0</v>
      </c>
      <c r="E145" s="20">
        <v>0.09</v>
      </c>
      <c r="F145" s="350"/>
      <c r="G145" s="350"/>
      <c r="H145" s="350"/>
      <c r="I145" s="21" t="s">
        <v>192</v>
      </c>
      <c r="J145" s="19">
        <v>1</v>
      </c>
      <c r="K145" s="19">
        <v>0.28999999999999998</v>
      </c>
      <c r="L145" s="19">
        <v>1</v>
      </c>
      <c r="M145" s="20">
        <v>0.59</v>
      </c>
    </row>
    <row r="146" spans="1:13" hidden="1" x14ac:dyDescent="0.3">
      <c r="A146" s="166" t="s">
        <v>509</v>
      </c>
      <c r="B146" s="18" t="s">
        <v>510</v>
      </c>
      <c r="C146" s="19">
        <v>0.84</v>
      </c>
      <c r="D146" s="19">
        <v>0</v>
      </c>
      <c r="E146" s="20">
        <v>0.25</v>
      </c>
      <c r="F146" s="350"/>
      <c r="G146" s="350"/>
      <c r="H146" s="350"/>
      <c r="I146" s="21" t="s">
        <v>163</v>
      </c>
      <c r="J146" s="19">
        <v>1</v>
      </c>
      <c r="K146" s="19">
        <v>0.42</v>
      </c>
      <c r="L146" s="19">
        <v>1</v>
      </c>
      <c r="M146" s="20">
        <v>0.84</v>
      </c>
    </row>
    <row r="147" spans="1:13" hidden="1" x14ac:dyDescent="0.3">
      <c r="A147" s="167" t="s">
        <v>511</v>
      </c>
      <c r="B147" s="18" t="s">
        <v>512</v>
      </c>
      <c r="C147" s="19">
        <v>1</v>
      </c>
      <c r="D147" s="19">
        <v>0.65</v>
      </c>
      <c r="E147" s="20">
        <v>0.79</v>
      </c>
      <c r="F147" s="350"/>
      <c r="G147" s="350"/>
      <c r="H147" s="350"/>
      <c r="I147" s="21" t="s">
        <v>513</v>
      </c>
      <c r="J147" s="19">
        <v>1</v>
      </c>
      <c r="K147" s="19">
        <v>0.83</v>
      </c>
      <c r="L147" s="19">
        <v>0.35</v>
      </c>
      <c r="M147" s="20">
        <v>1</v>
      </c>
    </row>
    <row r="148" spans="1:13" x14ac:dyDescent="0.3">
      <c r="A148" s="168" t="s">
        <v>514</v>
      </c>
      <c r="B148" s="18" t="s">
        <v>515</v>
      </c>
      <c r="C148" s="19">
        <v>0.7</v>
      </c>
      <c r="D148" s="19">
        <v>0.11</v>
      </c>
      <c r="E148" s="20">
        <v>0.11</v>
      </c>
      <c r="F148" s="350"/>
      <c r="G148" s="350"/>
      <c r="H148" s="350"/>
      <c r="I148" s="21" t="s">
        <v>233</v>
      </c>
      <c r="J148" s="19">
        <v>0.74</v>
      </c>
      <c r="K148" s="19">
        <v>0.4</v>
      </c>
      <c r="L148" s="19">
        <v>0.85</v>
      </c>
      <c r="M148" s="20">
        <v>0.7</v>
      </c>
    </row>
    <row r="149" spans="1:13" hidden="1" x14ac:dyDescent="0.3">
      <c r="A149" s="169" t="s">
        <v>516</v>
      </c>
      <c r="B149" s="18" t="s">
        <v>517</v>
      </c>
      <c r="C149" s="19">
        <v>0.34</v>
      </c>
      <c r="D149" s="19">
        <v>0.63</v>
      </c>
      <c r="E149" s="20">
        <v>0.83</v>
      </c>
      <c r="F149" s="350"/>
      <c r="G149" s="350"/>
      <c r="H149" s="350"/>
      <c r="I149" s="21" t="s">
        <v>518</v>
      </c>
      <c r="J149" s="19">
        <v>0.59</v>
      </c>
      <c r="K149" s="19">
        <v>0.57999999999999996</v>
      </c>
      <c r="L149" s="19">
        <v>0.59</v>
      </c>
      <c r="M149" s="20">
        <v>0.83</v>
      </c>
    </row>
    <row r="150" spans="1:13" hidden="1" x14ac:dyDescent="0.3">
      <c r="A150" s="170" t="s">
        <v>519</v>
      </c>
      <c r="B150" s="18" t="s">
        <v>520</v>
      </c>
      <c r="C150" s="19">
        <v>0.93</v>
      </c>
      <c r="D150" s="19">
        <v>0.56999999999999995</v>
      </c>
      <c r="E150" s="20">
        <v>0.13</v>
      </c>
      <c r="F150" s="350"/>
      <c r="G150" s="350"/>
      <c r="H150" s="350"/>
      <c r="I150" s="21" t="s">
        <v>284</v>
      </c>
      <c r="J150" s="19">
        <v>0.85</v>
      </c>
      <c r="K150" s="19">
        <v>0.53</v>
      </c>
      <c r="L150" s="19">
        <v>0.86</v>
      </c>
      <c r="M150" s="20">
        <v>0.93</v>
      </c>
    </row>
    <row r="151" spans="1:13" hidden="1" x14ac:dyDescent="0.3">
      <c r="A151" s="171" t="s">
        <v>521</v>
      </c>
      <c r="B151" s="18" t="s">
        <v>522</v>
      </c>
      <c r="C151" s="19">
        <v>0</v>
      </c>
      <c r="D151" s="19">
        <v>0.34</v>
      </c>
      <c r="E151" s="20">
        <v>0.25</v>
      </c>
      <c r="F151" s="350"/>
      <c r="G151" s="350"/>
      <c r="H151" s="350"/>
      <c r="I151" s="21" t="s">
        <v>389</v>
      </c>
      <c r="J151" s="19">
        <v>1</v>
      </c>
      <c r="K151" s="19">
        <v>0.17</v>
      </c>
      <c r="L151" s="19">
        <v>1</v>
      </c>
      <c r="M151" s="20">
        <v>0.34</v>
      </c>
    </row>
    <row r="152" spans="1:13" x14ac:dyDescent="0.3">
      <c r="A152" s="172" t="s">
        <v>523</v>
      </c>
      <c r="B152" s="18" t="s">
        <v>524</v>
      </c>
      <c r="C152" s="19">
        <v>0.44</v>
      </c>
      <c r="D152" s="19">
        <v>0.21</v>
      </c>
      <c r="E152" s="20">
        <v>0.26</v>
      </c>
      <c r="F152" s="350"/>
      <c r="G152" s="350"/>
      <c r="H152" s="350"/>
      <c r="I152" s="21" t="s">
        <v>154</v>
      </c>
      <c r="J152" s="19">
        <v>0.35</v>
      </c>
      <c r="K152" s="19">
        <v>0.33</v>
      </c>
      <c r="L152" s="19">
        <v>0.52</v>
      </c>
      <c r="M152" s="20">
        <v>0.44</v>
      </c>
    </row>
    <row r="153" spans="1:13" hidden="1" x14ac:dyDescent="0.3">
      <c r="A153" s="173" t="s">
        <v>525</v>
      </c>
      <c r="B153" s="18" t="s">
        <v>526</v>
      </c>
      <c r="C153" s="19">
        <v>0.79</v>
      </c>
      <c r="D153" s="19">
        <v>0.35</v>
      </c>
      <c r="E153" s="20">
        <v>0.28999999999999998</v>
      </c>
      <c r="F153" s="350"/>
      <c r="G153" s="350"/>
      <c r="H153" s="350"/>
      <c r="I153" s="21" t="s">
        <v>439</v>
      </c>
      <c r="J153" s="19">
        <v>0.54</v>
      </c>
      <c r="K153" s="19">
        <v>0.54</v>
      </c>
      <c r="L153" s="19">
        <v>0.64</v>
      </c>
      <c r="M153" s="20">
        <v>0.79</v>
      </c>
    </row>
    <row r="154" spans="1:13" hidden="1" x14ac:dyDescent="0.3">
      <c r="A154" s="174" t="s">
        <v>527</v>
      </c>
      <c r="B154" s="18" t="s">
        <v>528</v>
      </c>
      <c r="C154" s="19">
        <v>0.67</v>
      </c>
      <c r="D154" s="19">
        <v>0.88</v>
      </c>
      <c r="E154" s="20">
        <v>0.69</v>
      </c>
      <c r="F154" s="350"/>
      <c r="G154" s="350"/>
      <c r="H154" s="350"/>
      <c r="I154" s="21" t="s">
        <v>529</v>
      </c>
      <c r="J154" s="19">
        <v>0.47</v>
      </c>
      <c r="K154" s="19">
        <v>0.78</v>
      </c>
      <c r="L154" s="19">
        <v>0.24</v>
      </c>
      <c r="M154" s="20">
        <v>0.88</v>
      </c>
    </row>
    <row r="155" spans="1:13" hidden="1" x14ac:dyDescent="0.3">
      <c r="A155" s="175" t="s">
        <v>530</v>
      </c>
      <c r="B155" s="18" t="s">
        <v>531</v>
      </c>
      <c r="C155" s="19">
        <v>0</v>
      </c>
      <c r="D155" s="19">
        <v>0.48</v>
      </c>
      <c r="E155" s="20">
        <v>0.65</v>
      </c>
      <c r="F155" s="350"/>
      <c r="G155" s="350"/>
      <c r="H155" s="350"/>
      <c r="I155" s="21" t="s">
        <v>532</v>
      </c>
      <c r="J155" s="19">
        <v>1</v>
      </c>
      <c r="K155" s="19">
        <v>0.33</v>
      </c>
      <c r="L155" s="19">
        <v>1</v>
      </c>
      <c r="M155" s="20">
        <v>0.65</v>
      </c>
    </row>
    <row r="156" spans="1:13" x14ac:dyDescent="0.3">
      <c r="A156" s="176" t="s">
        <v>533</v>
      </c>
      <c r="B156" s="18" t="s">
        <v>534</v>
      </c>
      <c r="C156" s="19">
        <v>0.18</v>
      </c>
      <c r="D156" s="19">
        <v>0.52</v>
      </c>
      <c r="E156" s="20">
        <v>0.49</v>
      </c>
      <c r="F156" s="350"/>
      <c r="G156" s="350"/>
      <c r="H156" s="350"/>
      <c r="I156" s="21" t="s">
        <v>535</v>
      </c>
      <c r="J156" s="19">
        <v>0.47</v>
      </c>
      <c r="K156" s="19">
        <v>0.35</v>
      </c>
      <c r="L156" s="19">
        <v>0.64</v>
      </c>
      <c r="M156" s="20">
        <v>0.52</v>
      </c>
    </row>
    <row r="157" spans="1:13" hidden="1" x14ac:dyDescent="0.3">
      <c r="A157" s="177" t="s">
        <v>536</v>
      </c>
      <c r="B157" s="18" t="s">
        <v>537</v>
      </c>
      <c r="C157" s="19">
        <v>0.7</v>
      </c>
      <c r="D157" s="19">
        <v>1</v>
      </c>
      <c r="E157" s="20">
        <v>1</v>
      </c>
      <c r="F157" s="350"/>
      <c r="G157" s="350"/>
      <c r="H157" s="350"/>
      <c r="I157" s="21" t="s">
        <v>206</v>
      </c>
      <c r="J157" s="19">
        <v>1</v>
      </c>
      <c r="K157" s="19">
        <v>0.85</v>
      </c>
      <c r="L157" s="19">
        <v>0.3</v>
      </c>
      <c r="M157" s="20">
        <v>1</v>
      </c>
    </row>
    <row r="158" spans="1:13" hidden="1" x14ac:dyDescent="0.3">
      <c r="A158" s="178" t="s">
        <v>538</v>
      </c>
      <c r="B158" s="18" t="s">
        <v>539</v>
      </c>
      <c r="C158" s="19">
        <v>0.14000000000000001</v>
      </c>
      <c r="D158" s="19">
        <v>0.42</v>
      </c>
      <c r="E158" s="20">
        <v>0.81</v>
      </c>
      <c r="F158" s="350"/>
      <c r="G158" s="350"/>
      <c r="H158" s="350"/>
      <c r="I158" s="21" t="s">
        <v>278</v>
      </c>
      <c r="J158" s="19">
        <v>0.7</v>
      </c>
      <c r="K158" s="19">
        <v>0.48</v>
      </c>
      <c r="L158" s="19">
        <v>0.83</v>
      </c>
      <c r="M158" s="20">
        <v>0.81</v>
      </c>
    </row>
    <row r="159" spans="1:13" hidden="1" x14ac:dyDescent="0.3">
      <c r="A159" s="179" t="s">
        <v>540</v>
      </c>
      <c r="B159" s="18" t="s">
        <v>541</v>
      </c>
      <c r="C159" s="19">
        <v>0.87</v>
      </c>
      <c r="D159" s="19">
        <v>0.19</v>
      </c>
      <c r="E159" s="20">
        <v>0.39</v>
      </c>
      <c r="F159" s="350"/>
      <c r="G159" s="350"/>
      <c r="H159" s="350"/>
      <c r="I159" s="21" t="s">
        <v>542</v>
      </c>
      <c r="J159" s="19">
        <v>0.72</v>
      </c>
      <c r="K159" s="19">
        <v>0.53</v>
      </c>
      <c r="L159" s="19">
        <v>0.78</v>
      </c>
      <c r="M159" s="20">
        <v>0.87</v>
      </c>
    </row>
    <row r="160" spans="1:13" hidden="1" x14ac:dyDescent="0.3">
      <c r="A160" s="175" t="s">
        <v>543</v>
      </c>
      <c r="B160" s="18" t="s">
        <v>531</v>
      </c>
      <c r="C160" s="19">
        <v>0</v>
      </c>
      <c r="D160" s="19">
        <v>0.48</v>
      </c>
      <c r="E160" s="20">
        <v>0.65</v>
      </c>
      <c r="F160" s="350"/>
      <c r="G160" s="350"/>
      <c r="H160" s="350"/>
      <c r="I160" s="21" t="s">
        <v>532</v>
      </c>
      <c r="J160" s="19">
        <v>1</v>
      </c>
      <c r="K160" s="19">
        <v>0.33</v>
      </c>
      <c r="L160" s="19">
        <v>1</v>
      </c>
      <c r="M160" s="20">
        <v>0.65</v>
      </c>
    </row>
    <row r="161" spans="1:13" x14ac:dyDescent="0.3">
      <c r="A161" s="180" t="s">
        <v>544</v>
      </c>
      <c r="B161" s="18" t="s">
        <v>545</v>
      </c>
      <c r="C161" s="19">
        <v>0.16</v>
      </c>
      <c r="D161" s="19">
        <v>0.32</v>
      </c>
      <c r="E161" s="20">
        <v>0.75</v>
      </c>
      <c r="F161" s="350"/>
      <c r="G161" s="350"/>
      <c r="H161" s="350"/>
      <c r="I161" s="21" t="s">
        <v>352</v>
      </c>
      <c r="J161" s="19">
        <v>0.64</v>
      </c>
      <c r="K161" s="19">
        <v>0.45</v>
      </c>
      <c r="L161" s="19">
        <v>0.78</v>
      </c>
      <c r="M161" s="20">
        <v>0.75</v>
      </c>
    </row>
    <row r="162" spans="1:13" hidden="1" x14ac:dyDescent="0.3">
      <c r="A162" s="181" t="s">
        <v>546</v>
      </c>
      <c r="B162" s="18" t="s">
        <v>547</v>
      </c>
      <c r="C162" s="19">
        <v>0.43</v>
      </c>
      <c r="D162" s="19">
        <v>0.61</v>
      </c>
      <c r="E162" s="20">
        <v>0.76</v>
      </c>
      <c r="F162" s="350"/>
      <c r="G162" s="350"/>
      <c r="H162" s="350"/>
      <c r="I162" s="21" t="s">
        <v>145</v>
      </c>
      <c r="J162" s="19">
        <v>0.42</v>
      </c>
      <c r="K162" s="19">
        <v>0.6</v>
      </c>
      <c r="L162" s="19">
        <v>0.44</v>
      </c>
      <c r="M162" s="20">
        <v>0.76</v>
      </c>
    </row>
    <row r="163" spans="1:13" hidden="1" x14ac:dyDescent="0.3">
      <c r="A163" s="182" t="s">
        <v>548</v>
      </c>
      <c r="B163" s="18" t="s">
        <v>549</v>
      </c>
      <c r="C163" s="19">
        <v>0.11</v>
      </c>
      <c r="D163" s="19">
        <v>0.67</v>
      </c>
      <c r="E163" s="20">
        <v>0.84</v>
      </c>
      <c r="F163" s="350"/>
      <c r="G163" s="350"/>
      <c r="H163" s="350"/>
      <c r="I163" s="21" t="s">
        <v>550</v>
      </c>
      <c r="J163" s="19">
        <v>0.76</v>
      </c>
      <c r="K163" s="19">
        <v>0.48</v>
      </c>
      <c r="L163" s="19">
        <v>0.86</v>
      </c>
      <c r="M163" s="20">
        <v>0.84</v>
      </c>
    </row>
    <row r="164" spans="1:13" hidden="1" x14ac:dyDescent="0.3">
      <c r="A164" s="183" t="s">
        <v>551</v>
      </c>
      <c r="B164" s="18" t="s">
        <v>552</v>
      </c>
      <c r="C164" s="19">
        <v>0</v>
      </c>
      <c r="D164" s="19">
        <v>0.48</v>
      </c>
      <c r="E164" s="20">
        <v>0.65</v>
      </c>
      <c r="F164" s="350"/>
      <c r="G164" s="350"/>
      <c r="H164" s="350"/>
      <c r="I164" s="21" t="s">
        <v>532</v>
      </c>
      <c r="J164" s="19">
        <v>1</v>
      </c>
      <c r="K164" s="19">
        <v>0.32</v>
      </c>
      <c r="L164" s="19">
        <v>1</v>
      </c>
      <c r="M164" s="20">
        <v>0.65</v>
      </c>
    </row>
    <row r="165" spans="1:13" hidden="1" x14ac:dyDescent="0.3">
      <c r="A165" s="184" t="s">
        <v>553</v>
      </c>
      <c r="B165" s="18" t="s">
        <v>554</v>
      </c>
      <c r="C165" s="19">
        <v>0.88</v>
      </c>
      <c r="D165" s="19">
        <v>0.24</v>
      </c>
      <c r="E165" s="20">
        <v>0.19</v>
      </c>
      <c r="F165" s="350"/>
      <c r="G165" s="350"/>
      <c r="H165" s="350"/>
      <c r="I165" s="21" t="s">
        <v>267</v>
      </c>
      <c r="J165" s="19">
        <v>0.74</v>
      </c>
      <c r="K165" s="19">
        <v>0.54</v>
      </c>
      <c r="L165" s="19">
        <v>0.78</v>
      </c>
      <c r="M165" s="20">
        <v>0.88</v>
      </c>
    </row>
    <row r="166" spans="1:13" hidden="1" x14ac:dyDescent="0.3">
      <c r="A166" s="185" t="s">
        <v>555</v>
      </c>
      <c r="B166" s="18" t="s">
        <v>556</v>
      </c>
      <c r="C166" s="19">
        <v>0.97</v>
      </c>
      <c r="D166" s="19">
        <v>0.91</v>
      </c>
      <c r="E166" s="20">
        <v>0.81</v>
      </c>
      <c r="F166" s="350"/>
      <c r="G166" s="350"/>
      <c r="H166" s="350"/>
      <c r="I166" s="21" t="s">
        <v>409</v>
      </c>
      <c r="J166" s="19">
        <v>0.72</v>
      </c>
      <c r="K166" s="19">
        <v>0.89</v>
      </c>
      <c r="L166" s="19">
        <v>0.17</v>
      </c>
      <c r="M166" s="20">
        <v>0.97</v>
      </c>
    </row>
    <row r="167" spans="1:13" hidden="1" x14ac:dyDescent="0.3">
      <c r="A167" s="186" t="s">
        <v>557</v>
      </c>
      <c r="B167" s="18" t="s">
        <v>558</v>
      </c>
      <c r="C167" s="19">
        <v>0.95</v>
      </c>
      <c r="D167" s="19">
        <v>0.87</v>
      </c>
      <c r="E167" s="20">
        <v>0.81</v>
      </c>
      <c r="F167" s="350"/>
      <c r="G167" s="350"/>
      <c r="H167" s="350"/>
      <c r="I167" s="21" t="s">
        <v>442</v>
      </c>
      <c r="J167" s="19">
        <v>0.55000000000000004</v>
      </c>
      <c r="K167" s="19">
        <v>0.88</v>
      </c>
      <c r="L167" s="19">
        <v>0.14000000000000001</v>
      </c>
      <c r="M167" s="20">
        <v>0.95</v>
      </c>
    </row>
    <row r="168" spans="1:13" x14ac:dyDescent="0.3">
      <c r="A168" s="187" t="s">
        <v>559</v>
      </c>
      <c r="B168" s="18" t="s">
        <v>560</v>
      </c>
      <c r="C168" s="19">
        <v>0.21</v>
      </c>
      <c r="D168" s="19">
        <v>0.27</v>
      </c>
      <c r="E168" s="20">
        <v>0.31</v>
      </c>
      <c r="F168" s="350"/>
      <c r="G168" s="350"/>
      <c r="H168" s="350"/>
      <c r="I168" s="21" t="s">
        <v>518</v>
      </c>
      <c r="J168" s="19">
        <v>0.19</v>
      </c>
      <c r="K168" s="19">
        <v>0.26</v>
      </c>
      <c r="L168" s="19">
        <v>0.32</v>
      </c>
      <c r="M168" s="20">
        <v>0.31</v>
      </c>
    </row>
    <row r="169" spans="1:13" x14ac:dyDescent="0.3">
      <c r="A169" s="188" t="s">
        <v>561</v>
      </c>
      <c r="B169" s="18" t="s">
        <v>562</v>
      </c>
      <c r="C169" s="19">
        <v>0.14000000000000001</v>
      </c>
      <c r="D169" s="19">
        <v>0.17</v>
      </c>
      <c r="E169" s="20">
        <v>0.17</v>
      </c>
      <c r="F169" s="350"/>
      <c r="G169" s="350"/>
      <c r="H169" s="350"/>
      <c r="I169" s="21" t="s">
        <v>206</v>
      </c>
      <c r="J169" s="19">
        <v>0.1</v>
      </c>
      <c r="K169" s="19">
        <v>0.15</v>
      </c>
      <c r="L169" s="19">
        <v>0.19</v>
      </c>
      <c r="M169" s="20">
        <v>0.17</v>
      </c>
    </row>
    <row r="170" spans="1:13" hidden="1" x14ac:dyDescent="0.3">
      <c r="A170" s="189" t="s">
        <v>563</v>
      </c>
      <c r="B170" s="18" t="s">
        <v>564</v>
      </c>
      <c r="C170" s="19">
        <v>0.9</v>
      </c>
      <c r="D170" s="19">
        <v>0.56000000000000005</v>
      </c>
      <c r="E170" s="20">
        <v>0.67</v>
      </c>
      <c r="F170" s="350"/>
      <c r="G170" s="350"/>
      <c r="H170" s="350"/>
      <c r="I170" s="21" t="s">
        <v>486</v>
      </c>
      <c r="J170" s="19">
        <v>0.64</v>
      </c>
      <c r="K170" s="19">
        <v>0.73</v>
      </c>
      <c r="L170" s="19">
        <v>0.38</v>
      </c>
      <c r="M170" s="20">
        <v>0.9</v>
      </c>
    </row>
    <row r="171" spans="1:13" hidden="1" x14ac:dyDescent="0.3">
      <c r="A171" s="190" t="s">
        <v>565</v>
      </c>
      <c r="B171" s="18" t="s">
        <v>566</v>
      </c>
      <c r="C171" s="19">
        <v>0.87</v>
      </c>
      <c r="D171" s="19">
        <v>1</v>
      </c>
      <c r="E171" s="20">
        <v>0</v>
      </c>
      <c r="F171" s="350"/>
      <c r="G171" s="350"/>
      <c r="H171" s="350"/>
      <c r="I171" s="21" t="s">
        <v>567</v>
      </c>
      <c r="J171" s="19">
        <v>1</v>
      </c>
      <c r="K171" s="19">
        <v>0.5</v>
      </c>
      <c r="L171" s="19">
        <v>1</v>
      </c>
      <c r="M171" s="20">
        <v>1</v>
      </c>
    </row>
    <row r="172" spans="1:13" hidden="1" x14ac:dyDescent="0.3">
      <c r="A172" s="191" t="s">
        <v>568</v>
      </c>
      <c r="B172" s="18" t="s">
        <v>569</v>
      </c>
      <c r="C172" s="19">
        <v>0.5</v>
      </c>
      <c r="D172" s="19">
        <v>1</v>
      </c>
      <c r="E172" s="20">
        <v>0</v>
      </c>
      <c r="F172" s="350"/>
      <c r="G172" s="350"/>
      <c r="H172" s="350"/>
      <c r="I172" s="21" t="s">
        <v>570</v>
      </c>
      <c r="J172" s="19">
        <v>1</v>
      </c>
      <c r="K172" s="19">
        <v>0.5</v>
      </c>
      <c r="L172" s="19">
        <v>1</v>
      </c>
      <c r="M172" s="20">
        <v>1</v>
      </c>
    </row>
    <row r="173" spans="1:13" hidden="1" x14ac:dyDescent="0.3">
      <c r="A173" s="192" t="s">
        <v>571</v>
      </c>
      <c r="B173" s="18" t="s">
        <v>572</v>
      </c>
      <c r="C173" s="19">
        <v>1</v>
      </c>
      <c r="D173" s="19">
        <v>0.72</v>
      </c>
      <c r="E173" s="20">
        <v>0.77</v>
      </c>
      <c r="F173" s="350"/>
      <c r="G173" s="350"/>
      <c r="H173" s="350"/>
      <c r="I173" s="21" t="s">
        <v>154</v>
      </c>
      <c r="J173" s="19">
        <v>1</v>
      </c>
      <c r="K173" s="19">
        <v>0.86</v>
      </c>
      <c r="L173" s="19">
        <v>0.28000000000000003</v>
      </c>
      <c r="M173" s="20">
        <v>1</v>
      </c>
    </row>
    <row r="174" spans="1:13" x14ac:dyDescent="0.3">
      <c r="A174" s="193" t="s">
        <v>573</v>
      </c>
      <c r="B174" s="18" t="s">
        <v>574</v>
      </c>
      <c r="C174" s="19">
        <v>0.57999999999999996</v>
      </c>
      <c r="D174" s="19">
        <v>0.27</v>
      </c>
      <c r="E174" s="20">
        <v>0.21</v>
      </c>
      <c r="F174" s="350"/>
      <c r="G174" s="350"/>
      <c r="H174" s="350"/>
      <c r="I174" s="21" t="s">
        <v>306</v>
      </c>
      <c r="J174" s="19">
        <v>0.48</v>
      </c>
      <c r="K174" s="19">
        <v>0.4</v>
      </c>
      <c r="L174" s="19">
        <v>0.64</v>
      </c>
      <c r="M174" s="20">
        <v>0.57999999999999996</v>
      </c>
    </row>
    <row r="175" spans="1:13" hidden="1" x14ac:dyDescent="0.3">
      <c r="A175" s="194" t="s">
        <v>575</v>
      </c>
      <c r="B175" s="18" t="s">
        <v>576</v>
      </c>
      <c r="C175" s="19">
        <v>0.89</v>
      </c>
      <c r="D175" s="19">
        <v>0.24</v>
      </c>
      <c r="E175" s="20">
        <v>0.16</v>
      </c>
      <c r="F175" s="350"/>
      <c r="G175" s="350"/>
      <c r="H175" s="350"/>
      <c r="I175" s="21" t="s">
        <v>577</v>
      </c>
      <c r="J175" s="19">
        <v>0.76</v>
      </c>
      <c r="K175" s="19">
        <v>0.52</v>
      </c>
      <c r="L175" s="19">
        <v>1.83</v>
      </c>
      <c r="M175" s="20">
        <v>1.25</v>
      </c>
    </row>
    <row r="176" spans="1:13" hidden="1" x14ac:dyDescent="0.3">
      <c r="A176" s="195" t="s">
        <v>578</v>
      </c>
      <c r="B176" s="18" t="s">
        <v>579</v>
      </c>
      <c r="C176" s="19">
        <v>0.87</v>
      </c>
      <c r="D176" s="19">
        <v>0.44</v>
      </c>
      <c r="E176" s="20">
        <v>0.63</v>
      </c>
      <c r="F176" s="350"/>
      <c r="G176" s="350"/>
      <c r="H176" s="350"/>
      <c r="I176" s="21" t="s">
        <v>580</v>
      </c>
      <c r="J176" s="19">
        <v>0.63</v>
      </c>
      <c r="K176" s="19">
        <v>0.65</v>
      </c>
      <c r="L176" s="19">
        <v>0.5</v>
      </c>
      <c r="M176" s="20">
        <v>0.87</v>
      </c>
    </row>
    <row r="177" spans="1:13" x14ac:dyDescent="0.3">
      <c r="A177" s="196" t="s">
        <v>581</v>
      </c>
      <c r="B177" s="18" t="s">
        <v>582</v>
      </c>
      <c r="C177" s="19">
        <v>0.66</v>
      </c>
      <c r="D177" s="19">
        <v>0.32</v>
      </c>
      <c r="E177" s="20">
        <v>0.43</v>
      </c>
      <c r="F177" s="350"/>
      <c r="G177" s="350"/>
      <c r="H177" s="350"/>
      <c r="I177" s="21" t="s">
        <v>486</v>
      </c>
      <c r="J177" s="19">
        <v>0.35</v>
      </c>
      <c r="K177" s="19">
        <v>0.49</v>
      </c>
      <c r="L177" s="19">
        <v>0.52</v>
      </c>
      <c r="M177" s="20">
        <v>0.66</v>
      </c>
    </row>
    <row r="178" spans="1:13" x14ac:dyDescent="0.3">
      <c r="A178" s="197" t="s">
        <v>583</v>
      </c>
      <c r="B178" s="18" t="s">
        <v>584</v>
      </c>
      <c r="C178" s="19">
        <v>0.67</v>
      </c>
      <c r="D178" s="19">
        <v>0.22</v>
      </c>
      <c r="E178" s="20">
        <v>0.12</v>
      </c>
      <c r="F178" s="350"/>
      <c r="G178" s="350"/>
      <c r="H178" s="350"/>
      <c r="I178" s="21" t="s">
        <v>585</v>
      </c>
      <c r="J178" s="19">
        <v>0.7</v>
      </c>
      <c r="K178" s="19">
        <v>0.39</v>
      </c>
      <c r="L178" s="19">
        <v>0.82</v>
      </c>
      <c r="M178" s="20">
        <v>0.67</v>
      </c>
    </row>
    <row r="179" spans="1:13" x14ac:dyDescent="0.3">
      <c r="A179" s="198" t="s">
        <v>586</v>
      </c>
      <c r="B179" s="18" t="s">
        <v>587</v>
      </c>
      <c r="C179" s="19">
        <v>0.52</v>
      </c>
      <c r="D179" s="19">
        <v>0.38</v>
      </c>
      <c r="E179" s="20">
        <v>0.53</v>
      </c>
      <c r="F179" s="350"/>
      <c r="G179" s="350"/>
      <c r="H179" s="350"/>
      <c r="I179" s="21" t="s">
        <v>588</v>
      </c>
      <c r="J179" s="19">
        <v>0.17</v>
      </c>
      <c r="K179" s="19">
        <v>0.46</v>
      </c>
      <c r="L179" s="19">
        <v>0.28999999999999998</v>
      </c>
      <c r="M179" s="20">
        <v>0.53</v>
      </c>
    </row>
    <row r="180" spans="1:13" hidden="1" x14ac:dyDescent="0.3">
      <c r="A180" s="199" t="s">
        <v>589</v>
      </c>
      <c r="B180" s="18" t="s">
        <v>590</v>
      </c>
      <c r="C180" s="19">
        <v>1</v>
      </c>
      <c r="D180" s="19">
        <v>0.7</v>
      </c>
      <c r="E180" s="20">
        <v>0</v>
      </c>
      <c r="F180" s="350"/>
      <c r="G180" s="350"/>
      <c r="H180" s="350"/>
      <c r="I180" s="21" t="s">
        <v>309</v>
      </c>
      <c r="J180" s="19">
        <v>1</v>
      </c>
      <c r="K180" s="19">
        <v>0.5</v>
      </c>
      <c r="L180" s="19">
        <v>1</v>
      </c>
      <c r="M180" s="20">
        <v>1</v>
      </c>
    </row>
    <row r="181" spans="1:13" hidden="1" x14ac:dyDescent="0.3">
      <c r="A181" s="200" t="s">
        <v>591</v>
      </c>
      <c r="B181" s="18" t="s">
        <v>592</v>
      </c>
      <c r="C181" s="19">
        <v>0.48</v>
      </c>
      <c r="D181" s="19">
        <v>0.25</v>
      </c>
      <c r="E181" s="20">
        <v>0</v>
      </c>
      <c r="F181" s="350"/>
      <c r="G181" s="350"/>
      <c r="H181" s="350"/>
      <c r="I181" s="21" t="s">
        <v>593</v>
      </c>
      <c r="J181" s="19">
        <v>1</v>
      </c>
      <c r="K181" s="19">
        <v>0.24</v>
      </c>
      <c r="L181" s="19">
        <v>1</v>
      </c>
      <c r="M181" s="20">
        <v>0.48</v>
      </c>
    </row>
    <row r="182" spans="1:13" hidden="1" x14ac:dyDescent="0.3">
      <c r="A182" s="201" t="s">
        <v>594</v>
      </c>
      <c r="B182" s="18" t="s">
        <v>595</v>
      </c>
      <c r="C182" s="19">
        <v>0.82</v>
      </c>
      <c r="D182" s="19">
        <v>0.41</v>
      </c>
      <c r="E182" s="20">
        <v>0.12</v>
      </c>
      <c r="F182" s="350"/>
      <c r="G182" s="350"/>
      <c r="H182" s="350"/>
      <c r="I182" s="21" t="s">
        <v>442</v>
      </c>
      <c r="J182" s="19">
        <v>0.75</v>
      </c>
      <c r="K182" s="19">
        <v>0.47</v>
      </c>
      <c r="L182" s="19">
        <v>0.86</v>
      </c>
      <c r="M182" s="20">
        <v>0.82</v>
      </c>
    </row>
    <row r="183" spans="1:13" x14ac:dyDescent="0.3">
      <c r="A183" s="202" t="s">
        <v>596</v>
      </c>
      <c r="B183" s="18" t="s">
        <v>597</v>
      </c>
      <c r="C183" s="19">
        <v>0.35</v>
      </c>
      <c r="D183" s="19">
        <v>7.0000000000000007E-2</v>
      </c>
      <c r="E183" s="20">
        <v>0.1</v>
      </c>
      <c r="F183" s="350"/>
      <c r="G183" s="350"/>
      <c r="H183" s="350"/>
      <c r="I183" s="21" t="s">
        <v>395</v>
      </c>
      <c r="J183" s="19">
        <v>0.68</v>
      </c>
      <c r="K183" s="19">
        <v>0.21</v>
      </c>
      <c r="L183" s="19">
        <v>0.8</v>
      </c>
      <c r="M183" s="20">
        <v>0.34</v>
      </c>
    </row>
    <row r="184" spans="1:13" hidden="1" x14ac:dyDescent="0.3">
      <c r="A184" s="203" t="s">
        <v>598</v>
      </c>
      <c r="B184" s="18" t="s">
        <v>599</v>
      </c>
      <c r="C184" s="19">
        <v>1</v>
      </c>
      <c r="D184" s="19">
        <v>0.65</v>
      </c>
      <c r="E184" s="20">
        <v>0</v>
      </c>
      <c r="F184" s="350"/>
      <c r="G184" s="350"/>
      <c r="H184" s="350"/>
      <c r="I184" s="21" t="s">
        <v>386</v>
      </c>
      <c r="J184" s="19">
        <v>1</v>
      </c>
      <c r="K184" s="19">
        <v>0.5</v>
      </c>
      <c r="L184" s="19">
        <v>1</v>
      </c>
      <c r="M184" s="20">
        <v>1</v>
      </c>
    </row>
    <row r="185" spans="1:13" x14ac:dyDescent="0.3">
      <c r="A185" s="204" t="s">
        <v>600</v>
      </c>
      <c r="B185" s="18" t="s">
        <v>601</v>
      </c>
      <c r="C185" s="19">
        <v>0.6</v>
      </c>
      <c r="D185" s="19">
        <v>0.51</v>
      </c>
      <c r="E185" s="20">
        <v>0.48</v>
      </c>
      <c r="F185" s="350"/>
      <c r="G185" s="350"/>
      <c r="H185" s="350"/>
      <c r="I185" s="21" t="s">
        <v>325</v>
      </c>
      <c r="J185" s="19">
        <v>0.12</v>
      </c>
      <c r="K185" s="19">
        <v>0.54</v>
      </c>
      <c r="L185" s="19">
        <v>0.19</v>
      </c>
      <c r="M185" s="20">
        <v>0.6</v>
      </c>
    </row>
    <row r="186" spans="1:13" hidden="1" x14ac:dyDescent="0.3">
      <c r="A186" s="205" t="s">
        <v>602</v>
      </c>
      <c r="B186" s="18" t="s">
        <v>603</v>
      </c>
      <c r="C186" s="19">
        <v>0.89</v>
      </c>
      <c r="D186" s="19">
        <v>0.26</v>
      </c>
      <c r="E186" s="20">
        <v>0.2</v>
      </c>
      <c r="F186" s="350"/>
      <c r="G186" s="350"/>
      <c r="H186" s="350"/>
      <c r="I186" s="21" t="s">
        <v>577</v>
      </c>
      <c r="J186" s="19">
        <v>0.76</v>
      </c>
      <c r="K186" s="19">
        <v>0.55000000000000004</v>
      </c>
      <c r="L186" s="19">
        <v>0.77</v>
      </c>
      <c r="M186" s="20">
        <v>0.89</v>
      </c>
    </row>
    <row r="187" spans="1:13" hidden="1" x14ac:dyDescent="0.3">
      <c r="A187" s="206" t="s">
        <v>604</v>
      </c>
      <c r="B187" s="18" t="s">
        <v>605</v>
      </c>
      <c r="C187" s="19">
        <v>0.8</v>
      </c>
      <c r="D187" s="19">
        <v>0.38</v>
      </c>
      <c r="E187" s="20">
        <v>0.49</v>
      </c>
      <c r="F187" s="350"/>
      <c r="G187" s="350"/>
      <c r="H187" s="350"/>
      <c r="I187" s="21" t="s">
        <v>542</v>
      </c>
      <c r="J187" s="19">
        <v>0.52</v>
      </c>
      <c r="K187" s="19">
        <v>0.59</v>
      </c>
      <c r="L187" s="19">
        <v>0.53</v>
      </c>
      <c r="M187" s="20">
        <v>0.8</v>
      </c>
    </row>
    <row r="188" spans="1:13" hidden="1" x14ac:dyDescent="0.3">
      <c r="A188" s="207" t="s">
        <v>606</v>
      </c>
      <c r="B188" s="18" t="s">
        <v>607</v>
      </c>
      <c r="C188" s="19">
        <v>0.89</v>
      </c>
      <c r="D188" s="19">
        <v>0.82</v>
      </c>
      <c r="E188" s="20">
        <v>0.04</v>
      </c>
      <c r="F188" s="350"/>
      <c r="G188" s="350"/>
      <c r="H188" s="350"/>
      <c r="I188" s="21" t="s">
        <v>608</v>
      </c>
      <c r="J188" s="19">
        <v>0.92</v>
      </c>
      <c r="K188" s="19">
        <v>0.47</v>
      </c>
      <c r="L188" s="19">
        <v>0.96</v>
      </c>
      <c r="M188" s="20">
        <v>0.89</v>
      </c>
    </row>
    <row r="189" spans="1:13" x14ac:dyDescent="0.3">
      <c r="A189" s="208" t="s">
        <v>609</v>
      </c>
      <c r="B189" s="18" t="s">
        <v>610</v>
      </c>
      <c r="C189" s="19">
        <v>0.62</v>
      </c>
      <c r="D189" s="19">
        <v>0.66</v>
      </c>
      <c r="E189" s="20">
        <v>0.12</v>
      </c>
      <c r="F189" s="350"/>
      <c r="G189" s="350"/>
      <c r="H189" s="350"/>
      <c r="I189" s="21" t="s">
        <v>611</v>
      </c>
      <c r="J189" s="19">
        <v>0.69</v>
      </c>
      <c r="K189" s="19">
        <v>0.39</v>
      </c>
      <c r="L189" s="19">
        <v>0.82</v>
      </c>
      <c r="M189" s="20">
        <v>0.66</v>
      </c>
    </row>
    <row r="190" spans="1:13" x14ac:dyDescent="0.3">
      <c r="A190" s="209" t="s">
        <v>612</v>
      </c>
      <c r="B190" s="18" t="s">
        <v>613</v>
      </c>
      <c r="C190" s="19">
        <v>0.5</v>
      </c>
      <c r="D190" s="19">
        <v>0.09</v>
      </c>
      <c r="E190" s="20">
        <v>0.2</v>
      </c>
      <c r="F190" s="350"/>
      <c r="G190" s="350"/>
      <c r="H190" s="350"/>
      <c r="I190" s="21" t="s">
        <v>542</v>
      </c>
      <c r="J190" s="19">
        <v>0.69</v>
      </c>
      <c r="K190" s="19">
        <v>0.28999999999999998</v>
      </c>
      <c r="L190" s="19">
        <v>0.82</v>
      </c>
      <c r="M190" s="20">
        <v>0.5</v>
      </c>
    </row>
    <row r="191" spans="1:13" hidden="1" x14ac:dyDescent="0.3">
      <c r="A191" s="210" t="s">
        <v>614</v>
      </c>
      <c r="B191" s="18" t="s">
        <v>615</v>
      </c>
      <c r="C191" s="19">
        <v>0</v>
      </c>
      <c r="D191" s="19">
        <v>0.28000000000000003</v>
      </c>
      <c r="E191" s="20">
        <v>0.67</v>
      </c>
      <c r="F191" s="350"/>
      <c r="G191" s="350"/>
      <c r="H191" s="350"/>
      <c r="I191" s="21" t="s">
        <v>278</v>
      </c>
      <c r="J191" s="19">
        <v>1</v>
      </c>
      <c r="K191" s="19">
        <v>0.34</v>
      </c>
      <c r="L191" s="19">
        <v>1</v>
      </c>
      <c r="M191" s="20">
        <v>0.67</v>
      </c>
    </row>
    <row r="192" spans="1:13" hidden="1" x14ac:dyDescent="0.3">
      <c r="A192" s="201" t="s">
        <v>616</v>
      </c>
      <c r="B192" s="18" t="s">
        <v>595</v>
      </c>
      <c r="C192" s="19">
        <v>0.82</v>
      </c>
      <c r="D192" s="19">
        <v>0.41</v>
      </c>
      <c r="E192" s="20">
        <v>0.12</v>
      </c>
      <c r="F192" s="350"/>
      <c r="G192" s="350"/>
      <c r="H192" s="350"/>
      <c r="I192" s="21" t="s">
        <v>442</v>
      </c>
      <c r="J192" s="19">
        <v>0.75</v>
      </c>
      <c r="K192" s="19">
        <v>0.47</v>
      </c>
      <c r="L192" s="19">
        <v>0.86</v>
      </c>
      <c r="M192" s="20">
        <v>0.82</v>
      </c>
    </row>
    <row r="193" spans="1:13" x14ac:dyDescent="0.3">
      <c r="A193" s="211" t="s">
        <v>617</v>
      </c>
      <c r="B193" s="18" t="s">
        <v>618</v>
      </c>
      <c r="C193" s="19">
        <v>0.44</v>
      </c>
      <c r="D193" s="19">
        <v>0.31</v>
      </c>
      <c r="E193" s="20">
        <v>0.22</v>
      </c>
      <c r="F193" s="350"/>
      <c r="G193" s="350"/>
      <c r="H193" s="350"/>
      <c r="I193" s="21" t="s">
        <v>442</v>
      </c>
      <c r="J193" s="19">
        <v>0.34</v>
      </c>
      <c r="K193" s="19">
        <v>0.33</v>
      </c>
      <c r="L193" s="19">
        <v>0.5</v>
      </c>
      <c r="M193" s="20">
        <v>0.44</v>
      </c>
    </row>
    <row r="194" spans="1:13" hidden="1" x14ac:dyDescent="0.3">
      <c r="A194" s="212" t="s">
        <v>619</v>
      </c>
      <c r="B194" s="18" t="s">
        <v>620</v>
      </c>
      <c r="C194" s="19">
        <v>0.73</v>
      </c>
      <c r="D194" s="19">
        <v>0.85</v>
      </c>
      <c r="E194" s="20">
        <v>0.92</v>
      </c>
      <c r="F194" s="350"/>
      <c r="G194" s="350"/>
      <c r="H194" s="350"/>
      <c r="I194" s="21" t="s">
        <v>621</v>
      </c>
      <c r="J194" s="19">
        <v>0.56000000000000005</v>
      </c>
      <c r="K194" s="19">
        <v>0.82</v>
      </c>
      <c r="L194" s="19">
        <v>0.21</v>
      </c>
      <c r="M194" s="20">
        <v>0.92</v>
      </c>
    </row>
    <row r="195" spans="1:13" hidden="1" x14ac:dyDescent="0.3">
      <c r="A195" s="213" t="s">
        <v>622</v>
      </c>
      <c r="B195" s="18" t="s">
        <v>623</v>
      </c>
      <c r="C195" s="19">
        <v>0.97</v>
      </c>
      <c r="D195" s="19">
        <v>0.51</v>
      </c>
      <c r="E195" s="20">
        <v>0.47</v>
      </c>
      <c r="F195" s="350"/>
      <c r="G195" s="350"/>
      <c r="H195" s="350"/>
      <c r="I195" s="21" t="s">
        <v>577</v>
      </c>
      <c r="J195" s="19">
        <v>0.9</v>
      </c>
      <c r="K195" s="19">
        <v>0.72</v>
      </c>
      <c r="L195" s="19">
        <v>0.51</v>
      </c>
      <c r="M195" s="20">
        <v>0.97</v>
      </c>
    </row>
    <row r="196" spans="1:13" x14ac:dyDescent="0.3">
      <c r="A196" s="214" t="s">
        <v>624</v>
      </c>
      <c r="B196" s="18" t="s">
        <v>625</v>
      </c>
      <c r="C196" s="19">
        <v>0.55000000000000004</v>
      </c>
      <c r="D196" s="19">
        <v>0.56999999999999995</v>
      </c>
      <c r="E196" s="20">
        <v>0.67</v>
      </c>
      <c r="F196" s="350"/>
      <c r="G196" s="350"/>
      <c r="H196" s="350"/>
      <c r="I196" s="21" t="s">
        <v>626</v>
      </c>
      <c r="J196" s="19">
        <v>0.16</v>
      </c>
      <c r="K196" s="19">
        <v>0.61</v>
      </c>
      <c r="L196" s="19">
        <v>0.19</v>
      </c>
      <c r="M196" s="20">
        <v>0.67</v>
      </c>
    </row>
    <row r="197" spans="1:13" x14ac:dyDescent="0.3">
      <c r="A197" s="215" t="s">
        <v>627</v>
      </c>
      <c r="B197" s="18" t="s">
        <v>628</v>
      </c>
      <c r="C197" s="19">
        <v>0.72</v>
      </c>
      <c r="D197" s="19">
        <v>0.45</v>
      </c>
      <c r="E197" s="20">
        <v>0.2</v>
      </c>
      <c r="F197" s="350"/>
      <c r="G197" s="350"/>
      <c r="H197" s="350"/>
      <c r="I197" s="21" t="s">
        <v>629</v>
      </c>
      <c r="J197" s="19">
        <v>0.56999999999999995</v>
      </c>
      <c r="K197" s="19">
        <v>0.46</v>
      </c>
      <c r="L197" s="19">
        <v>0.72</v>
      </c>
      <c r="M197" s="20">
        <v>0.72</v>
      </c>
    </row>
    <row r="198" spans="1:13" hidden="1" x14ac:dyDescent="0.3">
      <c r="A198" s="216" t="s">
        <v>630</v>
      </c>
      <c r="B198" s="18" t="s">
        <v>631</v>
      </c>
      <c r="C198" s="19">
        <v>0.85</v>
      </c>
      <c r="D198" s="19">
        <v>0.54</v>
      </c>
      <c r="E198" s="20">
        <v>0.4</v>
      </c>
      <c r="F198" s="350"/>
      <c r="G198" s="350"/>
      <c r="H198" s="350"/>
      <c r="I198" s="21" t="s">
        <v>632</v>
      </c>
      <c r="J198" s="19">
        <v>0.61</v>
      </c>
      <c r="K198" s="19">
        <v>0.63</v>
      </c>
      <c r="L198" s="19">
        <v>0.53</v>
      </c>
      <c r="M198" s="20">
        <v>0.85</v>
      </c>
    </row>
    <row r="199" spans="1:13" x14ac:dyDescent="0.3">
      <c r="A199" s="217" t="s">
        <v>633</v>
      </c>
      <c r="B199" s="18" t="s">
        <v>634</v>
      </c>
      <c r="C199" s="19">
        <v>0.68</v>
      </c>
      <c r="D199" s="19">
        <v>0.44</v>
      </c>
      <c r="E199" s="20">
        <v>0.41</v>
      </c>
      <c r="F199" s="350"/>
      <c r="G199" s="350"/>
      <c r="H199" s="350"/>
      <c r="I199" s="21" t="s">
        <v>577</v>
      </c>
      <c r="J199" s="19">
        <v>0.28999999999999998</v>
      </c>
      <c r="K199" s="19">
        <v>0.55000000000000004</v>
      </c>
      <c r="L199" s="19">
        <v>0.39</v>
      </c>
      <c r="M199" s="20">
        <v>0.68</v>
      </c>
    </row>
    <row r="200" spans="1:13" hidden="1" x14ac:dyDescent="0.3">
      <c r="A200" s="218" t="s">
        <v>635</v>
      </c>
      <c r="B200" s="18" t="s">
        <v>636</v>
      </c>
      <c r="C200" s="19">
        <v>0.8</v>
      </c>
      <c r="D200" s="19">
        <v>0.43</v>
      </c>
      <c r="E200" s="20">
        <v>0.32</v>
      </c>
      <c r="F200" s="350"/>
      <c r="G200" s="350"/>
      <c r="H200" s="350"/>
      <c r="I200" s="21" t="s">
        <v>445</v>
      </c>
      <c r="J200" s="19">
        <v>0.54</v>
      </c>
      <c r="K200" s="19">
        <v>0.56000000000000005</v>
      </c>
      <c r="L200" s="19">
        <v>0.6</v>
      </c>
      <c r="M200" s="20">
        <v>0.8</v>
      </c>
    </row>
    <row r="201" spans="1:13" x14ac:dyDescent="0.3">
      <c r="A201" s="219" t="s">
        <v>637</v>
      </c>
      <c r="B201" s="18" t="s">
        <v>638</v>
      </c>
      <c r="C201" s="19">
        <v>0.6</v>
      </c>
      <c r="D201" s="19">
        <v>0.4</v>
      </c>
      <c r="E201" s="20">
        <v>0.4</v>
      </c>
      <c r="F201" s="350"/>
      <c r="G201" s="350"/>
      <c r="H201" s="350"/>
      <c r="I201" s="21" t="s">
        <v>233</v>
      </c>
      <c r="J201" s="19">
        <v>0.2</v>
      </c>
      <c r="K201" s="19">
        <v>0.5</v>
      </c>
      <c r="L201" s="19">
        <v>0.33</v>
      </c>
      <c r="M201" s="20">
        <v>0.6</v>
      </c>
    </row>
    <row r="202" spans="1:13" hidden="1" x14ac:dyDescent="0.3">
      <c r="A202" s="220" t="s">
        <v>639</v>
      </c>
      <c r="B202" s="18" t="s">
        <v>640</v>
      </c>
      <c r="C202" s="19">
        <v>1</v>
      </c>
      <c r="D202" s="19">
        <v>0.22</v>
      </c>
      <c r="E202" s="20">
        <v>0</v>
      </c>
      <c r="F202" s="350"/>
      <c r="G202" s="350"/>
      <c r="H202" s="350"/>
      <c r="I202" s="21" t="s">
        <v>641</v>
      </c>
      <c r="J202" s="19">
        <v>1</v>
      </c>
      <c r="K202" s="19">
        <v>0.5</v>
      </c>
      <c r="L202" s="19">
        <v>1</v>
      </c>
      <c r="M202" s="20">
        <v>1</v>
      </c>
    </row>
    <row r="203" spans="1:13" hidden="1" x14ac:dyDescent="0.3">
      <c r="A203" s="221" t="s">
        <v>642</v>
      </c>
      <c r="B203" s="18" t="s">
        <v>643</v>
      </c>
      <c r="C203" s="19">
        <v>1</v>
      </c>
      <c r="D203" s="19">
        <v>0.5</v>
      </c>
      <c r="E203" s="20">
        <v>0.31</v>
      </c>
      <c r="F203" s="350"/>
      <c r="G203" s="350"/>
      <c r="H203" s="350"/>
      <c r="I203" s="21" t="s">
        <v>644</v>
      </c>
      <c r="J203" s="19">
        <v>1</v>
      </c>
      <c r="K203" s="19">
        <v>0.66</v>
      </c>
      <c r="L203" s="19">
        <v>0.69</v>
      </c>
      <c r="M203" s="20">
        <v>1</v>
      </c>
    </row>
    <row r="204" spans="1:13" hidden="1" x14ac:dyDescent="0.3">
      <c r="A204" s="213" t="s">
        <v>645</v>
      </c>
      <c r="B204" s="18" t="s">
        <v>623</v>
      </c>
      <c r="C204" s="19">
        <v>0.97</v>
      </c>
      <c r="D204" s="19">
        <v>0.51</v>
      </c>
      <c r="E204" s="20">
        <v>0.47</v>
      </c>
      <c r="F204" s="350"/>
      <c r="G204" s="350"/>
      <c r="H204" s="350"/>
      <c r="I204" s="21" t="s">
        <v>577</v>
      </c>
      <c r="J204" s="19">
        <v>0.9</v>
      </c>
      <c r="K204" s="19">
        <v>0.72</v>
      </c>
      <c r="L204" s="19">
        <v>0.51</v>
      </c>
      <c r="M204" s="20">
        <v>0.97</v>
      </c>
    </row>
    <row r="205" spans="1:13" x14ac:dyDescent="0.3">
      <c r="A205" s="222" t="s">
        <v>646</v>
      </c>
      <c r="B205" s="18" t="s">
        <v>647</v>
      </c>
      <c r="C205" s="19">
        <v>0.54</v>
      </c>
      <c r="D205" s="19">
        <v>0.25</v>
      </c>
      <c r="E205" s="20">
        <v>0.27</v>
      </c>
      <c r="F205" s="350"/>
      <c r="G205" s="350"/>
      <c r="H205" s="350"/>
      <c r="I205" s="21" t="s">
        <v>495</v>
      </c>
      <c r="J205" s="19">
        <v>0.37</v>
      </c>
      <c r="K205" s="19">
        <v>0.39</v>
      </c>
      <c r="L205" s="19">
        <v>0.54</v>
      </c>
      <c r="M205" s="20">
        <v>0.54</v>
      </c>
    </row>
    <row r="206" spans="1:13" hidden="1" x14ac:dyDescent="0.3">
      <c r="A206" s="223" t="s">
        <v>648</v>
      </c>
      <c r="B206" s="18" t="s">
        <v>649</v>
      </c>
      <c r="C206" s="19">
        <v>0.98</v>
      </c>
      <c r="D206" s="19">
        <v>0.93</v>
      </c>
      <c r="E206" s="20">
        <v>0.36</v>
      </c>
      <c r="F206" s="350"/>
      <c r="G206" s="350"/>
      <c r="H206" s="350"/>
      <c r="I206" s="21" t="s">
        <v>608</v>
      </c>
      <c r="J206" s="19">
        <v>0.95</v>
      </c>
      <c r="K206" s="19">
        <v>0.68</v>
      </c>
      <c r="L206" s="19">
        <v>0.63</v>
      </c>
      <c r="M206" s="20">
        <v>0.98</v>
      </c>
    </row>
    <row r="207" spans="1:13" x14ac:dyDescent="0.3">
      <c r="A207" s="168" t="s">
        <v>650</v>
      </c>
      <c r="B207" s="18" t="s">
        <v>515</v>
      </c>
      <c r="C207" s="19">
        <v>0.7</v>
      </c>
      <c r="D207" s="19">
        <v>0.11</v>
      </c>
      <c r="E207" s="20">
        <v>0.11</v>
      </c>
      <c r="F207" s="350"/>
      <c r="G207" s="350"/>
      <c r="H207" s="350"/>
      <c r="I207" s="21" t="s">
        <v>233</v>
      </c>
      <c r="J207" s="19">
        <v>0.74</v>
      </c>
      <c r="K207" s="19">
        <v>0.4</v>
      </c>
      <c r="L207" s="19">
        <v>0.85</v>
      </c>
      <c r="M207" s="20">
        <v>0.7</v>
      </c>
    </row>
    <row r="208" spans="1:13" hidden="1" x14ac:dyDescent="0.3">
      <c r="A208" s="224" t="s">
        <v>651</v>
      </c>
      <c r="B208" s="18" t="s">
        <v>652</v>
      </c>
      <c r="C208" s="19">
        <v>0.39</v>
      </c>
      <c r="D208" s="19">
        <v>0.57999999999999996</v>
      </c>
      <c r="E208" s="20">
        <v>0.93</v>
      </c>
      <c r="F208" s="350"/>
      <c r="G208" s="350"/>
      <c r="H208" s="350"/>
      <c r="I208" s="21" t="s">
        <v>460</v>
      </c>
      <c r="J208" s="19">
        <v>0.79</v>
      </c>
      <c r="K208" s="19">
        <v>0.66</v>
      </c>
      <c r="L208" s="19">
        <v>0.57999999999999996</v>
      </c>
      <c r="M208" s="20">
        <v>0.93</v>
      </c>
    </row>
    <row r="209" spans="1:13" hidden="1" x14ac:dyDescent="0.3">
      <c r="A209" s="225" t="s">
        <v>653</v>
      </c>
      <c r="B209" s="18" t="s">
        <v>654</v>
      </c>
      <c r="C209" s="19">
        <v>1</v>
      </c>
      <c r="D209" s="19">
        <v>0.97</v>
      </c>
      <c r="E209" s="20">
        <v>0.86</v>
      </c>
      <c r="F209" s="350"/>
      <c r="G209" s="350"/>
      <c r="H209" s="350"/>
      <c r="I209" s="21" t="s">
        <v>655</v>
      </c>
      <c r="J209" s="19">
        <v>1</v>
      </c>
      <c r="K209" s="19">
        <v>0.93</v>
      </c>
      <c r="L209" s="19">
        <v>0.14000000000000001</v>
      </c>
      <c r="M209" s="20">
        <v>1</v>
      </c>
    </row>
    <row r="210" spans="1:13" x14ac:dyDescent="0.3">
      <c r="A210" s="226" t="s">
        <v>656</v>
      </c>
      <c r="B210" s="18" t="s">
        <v>657</v>
      </c>
      <c r="C210" s="19">
        <v>0.18</v>
      </c>
      <c r="D210" s="19">
        <v>0.18</v>
      </c>
      <c r="E210" s="20">
        <v>0.53</v>
      </c>
      <c r="F210" s="350"/>
      <c r="G210" s="350"/>
      <c r="H210" s="350"/>
      <c r="I210" s="21" t="s">
        <v>658</v>
      </c>
      <c r="J210" s="19">
        <v>0.5</v>
      </c>
      <c r="K210" s="19">
        <v>0.36</v>
      </c>
      <c r="L210" s="19">
        <v>0.67</v>
      </c>
      <c r="M210" s="20">
        <v>0.53</v>
      </c>
    </row>
    <row r="211" spans="1:13" hidden="1" x14ac:dyDescent="0.3">
      <c r="A211" s="227" t="s">
        <v>659</v>
      </c>
      <c r="B211" s="18" t="s">
        <v>660</v>
      </c>
      <c r="C211" s="19">
        <v>1</v>
      </c>
      <c r="D211" s="19">
        <v>0.97</v>
      </c>
      <c r="E211" s="20">
        <v>0.91</v>
      </c>
      <c r="F211" s="350"/>
      <c r="G211" s="350"/>
      <c r="H211" s="350"/>
      <c r="I211" s="21" t="s">
        <v>261</v>
      </c>
      <c r="J211" s="19">
        <v>1</v>
      </c>
      <c r="K211" s="19">
        <v>0.95</v>
      </c>
      <c r="L211" s="19">
        <v>0.09</v>
      </c>
      <c r="M211" s="20">
        <v>1</v>
      </c>
    </row>
    <row r="212" spans="1:13" x14ac:dyDescent="0.3">
      <c r="A212" s="228" t="s">
        <v>661</v>
      </c>
      <c r="B212" s="18" t="s">
        <v>662</v>
      </c>
      <c r="C212" s="19">
        <v>0.51</v>
      </c>
      <c r="D212" s="19">
        <v>0.38</v>
      </c>
      <c r="E212" s="20">
        <v>0.24</v>
      </c>
      <c r="F212" s="350"/>
      <c r="G212" s="350"/>
      <c r="H212" s="350"/>
      <c r="I212" s="21" t="s">
        <v>663</v>
      </c>
      <c r="J212" s="19">
        <v>0.37</v>
      </c>
      <c r="K212" s="19">
        <v>0.37</v>
      </c>
      <c r="L212" s="19">
        <v>0.52</v>
      </c>
      <c r="M212" s="20">
        <v>0.51</v>
      </c>
    </row>
    <row r="213" spans="1:13" hidden="1" x14ac:dyDescent="0.3">
      <c r="A213" s="229" t="s">
        <v>664</v>
      </c>
      <c r="B213" s="18" t="s">
        <v>665</v>
      </c>
      <c r="C213" s="19">
        <v>1</v>
      </c>
      <c r="D213" s="19">
        <v>0.74</v>
      </c>
      <c r="E213" s="20">
        <v>0.85</v>
      </c>
      <c r="F213" s="350"/>
      <c r="G213" s="350"/>
      <c r="H213" s="350"/>
      <c r="I213" s="21" t="s">
        <v>666</v>
      </c>
      <c r="J213" s="19">
        <v>1</v>
      </c>
      <c r="K213" s="19">
        <v>0.87</v>
      </c>
      <c r="L213" s="19">
        <v>0.26</v>
      </c>
      <c r="M213" s="20">
        <v>1</v>
      </c>
    </row>
    <row r="214" spans="1:13" hidden="1" x14ac:dyDescent="0.3">
      <c r="A214" s="230" t="s">
        <v>667</v>
      </c>
      <c r="B214" s="18" t="s">
        <v>668</v>
      </c>
      <c r="C214" s="19">
        <v>1</v>
      </c>
      <c r="D214" s="19">
        <v>0.99</v>
      </c>
      <c r="E214" s="20">
        <v>0.82</v>
      </c>
      <c r="F214" s="350"/>
      <c r="G214" s="350"/>
      <c r="H214" s="350"/>
      <c r="I214" s="21" t="s">
        <v>669</v>
      </c>
      <c r="J214" s="19">
        <v>1</v>
      </c>
      <c r="K214" s="19">
        <v>0.91</v>
      </c>
      <c r="L214" s="19">
        <v>0.18</v>
      </c>
      <c r="M214" s="20">
        <v>1</v>
      </c>
    </row>
    <row r="215" spans="1:13" hidden="1" x14ac:dyDescent="0.3">
      <c r="A215" s="231" t="s">
        <v>670</v>
      </c>
      <c r="B215" s="18" t="s">
        <v>671</v>
      </c>
      <c r="C215" s="19">
        <v>0.86</v>
      </c>
      <c r="D215" s="19">
        <v>0.08</v>
      </c>
      <c r="E215" s="20">
        <v>0.24</v>
      </c>
      <c r="F215" s="350"/>
      <c r="G215" s="350"/>
      <c r="H215" s="350"/>
      <c r="I215" s="21" t="s">
        <v>154</v>
      </c>
      <c r="J215" s="19">
        <v>0.83</v>
      </c>
      <c r="K215" s="19">
        <v>0.47</v>
      </c>
      <c r="L215" s="19">
        <v>0.91</v>
      </c>
      <c r="M215" s="20">
        <v>0.86</v>
      </c>
    </row>
    <row r="216" spans="1:13" x14ac:dyDescent="0.3">
      <c r="A216" s="232" t="s">
        <v>672</v>
      </c>
      <c r="B216" s="18" t="s">
        <v>673</v>
      </c>
      <c r="C216" s="19">
        <v>0.62</v>
      </c>
      <c r="D216" s="19">
        <v>0.11</v>
      </c>
      <c r="E216" s="20">
        <v>0.2</v>
      </c>
      <c r="F216" s="350"/>
      <c r="G216" s="350"/>
      <c r="H216" s="350"/>
      <c r="I216" s="21" t="s">
        <v>319</v>
      </c>
      <c r="J216" s="19">
        <v>0.71</v>
      </c>
      <c r="K216" s="19">
        <v>0.36</v>
      </c>
      <c r="L216" s="19">
        <v>0.83</v>
      </c>
      <c r="M216" s="20">
        <v>0.62</v>
      </c>
    </row>
    <row r="217" spans="1:13" hidden="1" x14ac:dyDescent="0.3">
      <c r="A217" s="233" t="s">
        <v>674</v>
      </c>
      <c r="B217" s="18" t="s">
        <v>675</v>
      </c>
      <c r="C217" s="19">
        <v>0.65</v>
      </c>
      <c r="D217" s="19">
        <v>0.85</v>
      </c>
      <c r="E217" s="20">
        <v>0.87</v>
      </c>
      <c r="F217" s="350"/>
      <c r="G217" s="350"/>
      <c r="H217" s="350"/>
      <c r="I217" s="21" t="s">
        <v>676</v>
      </c>
      <c r="J217" s="19">
        <v>0.46</v>
      </c>
      <c r="K217" s="19">
        <v>0.76</v>
      </c>
      <c r="L217" s="19">
        <v>0.45</v>
      </c>
      <c r="M217" s="20">
        <v>0.87</v>
      </c>
    </row>
    <row r="218" spans="1:13" hidden="1" x14ac:dyDescent="0.3">
      <c r="A218" s="234" t="s">
        <v>677</v>
      </c>
      <c r="B218" s="18" t="s">
        <v>678</v>
      </c>
      <c r="C218" s="19">
        <v>0.96</v>
      </c>
      <c r="D218" s="19">
        <v>0.96</v>
      </c>
      <c r="E218" s="20">
        <v>0.96</v>
      </c>
      <c r="F218" s="350"/>
      <c r="G218" s="350"/>
      <c r="H218" s="350"/>
      <c r="I218" s="21" t="s">
        <v>303</v>
      </c>
      <c r="J218" s="19">
        <v>0</v>
      </c>
      <c r="K218" s="19">
        <v>0.96</v>
      </c>
      <c r="L218" s="19">
        <v>0</v>
      </c>
      <c r="M218" s="20">
        <v>0.96</v>
      </c>
    </row>
    <row r="219" spans="1:13" hidden="1" x14ac:dyDescent="0.3">
      <c r="A219" s="50" t="s">
        <v>679</v>
      </c>
      <c r="B219" s="18" t="s">
        <v>205</v>
      </c>
      <c r="C219" s="19">
        <v>0</v>
      </c>
      <c r="D219" s="19">
        <v>1</v>
      </c>
      <c r="E219" s="20">
        <v>1</v>
      </c>
      <c r="F219" s="350"/>
      <c r="G219" s="350"/>
      <c r="H219" s="350"/>
      <c r="I219" s="21" t="s">
        <v>206</v>
      </c>
      <c r="J219" s="19">
        <v>1</v>
      </c>
      <c r="K219" s="19">
        <v>0.5</v>
      </c>
      <c r="L219" s="19">
        <v>1</v>
      </c>
      <c r="M219" s="20">
        <v>1</v>
      </c>
    </row>
    <row r="220" spans="1:13" hidden="1" x14ac:dyDescent="0.3">
      <c r="A220" s="235" t="s">
        <v>680</v>
      </c>
      <c r="B220" s="18" t="s">
        <v>681</v>
      </c>
      <c r="C220" s="19">
        <v>0</v>
      </c>
      <c r="D220" s="19">
        <v>0.72</v>
      </c>
      <c r="E220" s="20">
        <v>0.92</v>
      </c>
      <c r="F220" s="350"/>
      <c r="G220" s="350"/>
      <c r="H220" s="350"/>
      <c r="I220" s="21" t="s">
        <v>682</v>
      </c>
      <c r="J220" s="19">
        <v>1</v>
      </c>
      <c r="K220" s="19">
        <v>0.46</v>
      </c>
      <c r="L220" s="19">
        <v>1</v>
      </c>
      <c r="M220" s="20">
        <v>0.92</v>
      </c>
    </row>
    <row r="221" spans="1:13" x14ac:dyDescent="0.3">
      <c r="A221" s="236" t="s">
        <v>683</v>
      </c>
      <c r="B221" s="18" t="s">
        <v>684</v>
      </c>
      <c r="C221" s="19">
        <v>0.35</v>
      </c>
      <c r="D221" s="19">
        <v>0.26</v>
      </c>
      <c r="E221" s="20">
        <v>0.49</v>
      </c>
      <c r="F221" s="350"/>
      <c r="G221" s="350"/>
      <c r="H221" s="350"/>
      <c r="I221" s="21" t="s">
        <v>685</v>
      </c>
      <c r="J221" s="19">
        <v>0.31</v>
      </c>
      <c r="K221" s="19">
        <v>0.37</v>
      </c>
      <c r="L221" s="19">
        <v>0.47</v>
      </c>
      <c r="M221" s="20">
        <v>0.49</v>
      </c>
    </row>
    <row r="222" spans="1:13" hidden="1" x14ac:dyDescent="0.3">
      <c r="A222" s="237" t="s">
        <v>686</v>
      </c>
      <c r="B222" s="18" t="s">
        <v>687</v>
      </c>
      <c r="C222" s="19">
        <v>1</v>
      </c>
      <c r="D222" s="19">
        <v>0.83</v>
      </c>
      <c r="E222" s="20">
        <v>0</v>
      </c>
      <c r="F222" s="350"/>
      <c r="G222" s="350"/>
      <c r="H222" s="350"/>
      <c r="I222" s="21" t="s">
        <v>142</v>
      </c>
      <c r="J222" s="19">
        <v>1</v>
      </c>
      <c r="K222" s="19">
        <v>0.5</v>
      </c>
      <c r="L222" s="19">
        <v>1</v>
      </c>
      <c r="M222" s="20">
        <v>1</v>
      </c>
    </row>
    <row r="223" spans="1:13" hidden="1" x14ac:dyDescent="0.3">
      <c r="A223" s="238" t="s">
        <v>688</v>
      </c>
      <c r="B223" s="18" t="s">
        <v>689</v>
      </c>
      <c r="C223" s="19">
        <v>0.96</v>
      </c>
      <c r="D223" s="19">
        <v>0.44</v>
      </c>
      <c r="E223" s="20">
        <v>0.63</v>
      </c>
      <c r="F223" s="350"/>
      <c r="G223" s="350"/>
      <c r="H223" s="350"/>
      <c r="I223" s="21" t="s">
        <v>160</v>
      </c>
      <c r="J223" s="19">
        <v>0.87</v>
      </c>
      <c r="K223" s="19">
        <v>0.7</v>
      </c>
      <c r="L223" s="19">
        <v>0.54</v>
      </c>
      <c r="M223" s="20">
        <v>0.96</v>
      </c>
    </row>
    <row r="224" spans="1:13" x14ac:dyDescent="0.3">
      <c r="A224" s="239" t="s">
        <v>690</v>
      </c>
      <c r="B224" s="18" t="s">
        <v>691</v>
      </c>
      <c r="C224" s="19">
        <v>0.4</v>
      </c>
      <c r="D224" s="19">
        <v>0.4</v>
      </c>
      <c r="E224" s="20">
        <v>0.6</v>
      </c>
      <c r="F224" s="350"/>
      <c r="G224" s="350"/>
      <c r="H224" s="350"/>
      <c r="I224" s="21" t="s">
        <v>336</v>
      </c>
      <c r="J224" s="19">
        <v>0.2</v>
      </c>
      <c r="K224" s="19">
        <v>0.5</v>
      </c>
      <c r="L224" s="19">
        <v>0.33</v>
      </c>
      <c r="M224" s="20">
        <v>0.6</v>
      </c>
    </row>
    <row r="225" spans="1:13" x14ac:dyDescent="0.3">
      <c r="A225" s="240" t="s">
        <v>692</v>
      </c>
      <c r="B225" s="18" t="s">
        <v>693</v>
      </c>
      <c r="C225" s="19">
        <v>0.4</v>
      </c>
      <c r="D225" s="19">
        <v>0.26</v>
      </c>
      <c r="E225" s="20">
        <v>0.13</v>
      </c>
      <c r="F225" s="350"/>
      <c r="G225" s="350"/>
      <c r="H225" s="350"/>
      <c r="I225" s="21" t="s">
        <v>151</v>
      </c>
      <c r="J225" s="19">
        <v>0.51</v>
      </c>
      <c r="K225" s="19">
        <v>0.26</v>
      </c>
      <c r="L225" s="19">
        <v>0.67</v>
      </c>
      <c r="M225" s="20">
        <v>0.4</v>
      </c>
    </row>
    <row r="226" spans="1:13" x14ac:dyDescent="0.3">
      <c r="A226" s="241" t="s">
        <v>694</v>
      </c>
      <c r="B226" s="18" t="s">
        <v>695</v>
      </c>
      <c r="C226" s="19">
        <v>0.36</v>
      </c>
      <c r="D226" s="19">
        <v>0.22</v>
      </c>
      <c r="E226" s="20">
        <v>0.33</v>
      </c>
      <c r="F226" s="350"/>
      <c r="G226" s="350"/>
      <c r="H226" s="350"/>
      <c r="I226" s="21" t="s">
        <v>696</v>
      </c>
      <c r="J226" s="19">
        <v>0.24</v>
      </c>
      <c r="K226" s="19">
        <v>0.28999999999999998</v>
      </c>
      <c r="L226" s="19">
        <v>0.39</v>
      </c>
      <c r="M226" s="20">
        <v>0.36</v>
      </c>
    </row>
    <row r="227" spans="1:13" x14ac:dyDescent="0.3">
      <c r="A227" s="242" t="s">
        <v>697</v>
      </c>
      <c r="B227" s="18" t="s">
        <v>698</v>
      </c>
      <c r="C227" s="19">
        <v>0.15</v>
      </c>
      <c r="D227" s="19">
        <v>0.26</v>
      </c>
      <c r="E227" s="20">
        <v>0.55000000000000004</v>
      </c>
      <c r="F227" s="350"/>
      <c r="G227" s="350"/>
      <c r="H227" s="350"/>
      <c r="I227" s="21" t="s">
        <v>699</v>
      </c>
      <c r="J227" s="19">
        <v>0.56999999999999995</v>
      </c>
      <c r="K227" s="19">
        <v>0.35</v>
      </c>
      <c r="L227" s="19">
        <v>0.73</v>
      </c>
      <c r="M227" s="20">
        <v>0.55000000000000004</v>
      </c>
    </row>
    <row r="228" spans="1:13" hidden="1" x14ac:dyDescent="0.3">
      <c r="A228" s="243" t="s">
        <v>700</v>
      </c>
      <c r="B228" s="18" t="s">
        <v>701</v>
      </c>
      <c r="C228" s="19">
        <v>0</v>
      </c>
      <c r="D228" s="19">
        <v>0.55000000000000004</v>
      </c>
      <c r="E228" s="20">
        <v>0.55000000000000004</v>
      </c>
      <c r="F228" s="350"/>
      <c r="G228" s="350"/>
      <c r="H228" s="350"/>
      <c r="I228" s="21" t="s">
        <v>206</v>
      </c>
      <c r="J228" s="19">
        <v>1</v>
      </c>
      <c r="K228" s="19">
        <v>0.27</v>
      </c>
      <c r="L228" s="19">
        <v>1</v>
      </c>
      <c r="M228" s="20">
        <v>0.55000000000000004</v>
      </c>
    </row>
    <row r="229" spans="1:13" x14ac:dyDescent="0.3">
      <c r="A229" s="244" t="s">
        <v>702</v>
      </c>
      <c r="B229" s="18" t="s">
        <v>703</v>
      </c>
      <c r="C229" s="19">
        <v>0.33</v>
      </c>
      <c r="D229" s="19">
        <v>0.41</v>
      </c>
      <c r="E229" s="20">
        <v>0.47</v>
      </c>
      <c r="F229" s="350"/>
      <c r="G229" s="350"/>
      <c r="H229" s="350"/>
      <c r="I229" s="21" t="s">
        <v>130</v>
      </c>
      <c r="J229" s="19">
        <v>0.18</v>
      </c>
      <c r="K229" s="19">
        <v>0.4</v>
      </c>
      <c r="L229" s="19">
        <v>0.31</v>
      </c>
      <c r="M229" s="20">
        <v>0.47</v>
      </c>
    </row>
    <row r="230" spans="1:13" hidden="1" x14ac:dyDescent="0.3">
      <c r="A230" s="245" t="s">
        <v>704</v>
      </c>
      <c r="B230" s="18" t="s">
        <v>705</v>
      </c>
      <c r="C230" s="19">
        <v>0.72</v>
      </c>
      <c r="D230" s="19">
        <v>0.53</v>
      </c>
      <c r="E230" s="20">
        <v>0.04</v>
      </c>
      <c r="F230" s="350"/>
      <c r="G230" s="350"/>
      <c r="H230" s="350"/>
      <c r="I230" s="21" t="s">
        <v>261</v>
      </c>
      <c r="J230" s="19">
        <v>0.89</v>
      </c>
      <c r="K230" s="19">
        <v>0.38</v>
      </c>
      <c r="L230" s="19">
        <v>0.94</v>
      </c>
      <c r="M230" s="20">
        <v>0.72</v>
      </c>
    </row>
    <row r="231" spans="1:13" hidden="1" x14ac:dyDescent="0.3">
      <c r="A231" s="246" t="s">
        <v>706</v>
      </c>
      <c r="B231" s="18" t="s">
        <v>707</v>
      </c>
      <c r="C231" s="19">
        <v>0</v>
      </c>
      <c r="D231" s="19">
        <v>0.2</v>
      </c>
      <c r="E231" s="20">
        <v>0.13</v>
      </c>
      <c r="F231" s="350"/>
      <c r="G231" s="350"/>
      <c r="H231" s="350"/>
      <c r="I231" s="21" t="s">
        <v>708</v>
      </c>
      <c r="J231" s="19">
        <v>0.96</v>
      </c>
      <c r="K231" s="19">
        <v>0.1</v>
      </c>
      <c r="L231" s="19">
        <v>0.98</v>
      </c>
      <c r="M231" s="20">
        <v>0.2</v>
      </c>
    </row>
    <row r="232" spans="1:13" hidden="1" x14ac:dyDescent="0.3">
      <c r="A232" s="247" t="s">
        <v>709</v>
      </c>
      <c r="B232" s="18" t="s">
        <v>710</v>
      </c>
      <c r="C232" s="19">
        <v>0</v>
      </c>
      <c r="D232" s="19">
        <v>0.39</v>
      </c>
      <c r="E232" s="20">
        <v>0</v>
      </c>
      <c r="F232" s="350"/>
      <c r="G232" s="350"/>
      <c r="H232" s="350"/>
      <c r="I232" s="21" t="s">
        <v>198</v>
      </c>
      <c r="J232" s="19">
        <v>1</v>
      </c>
      <c r="K232" s="19">
        <v>0.2</v>
      </c>
      <c r="L232" s="19">
        <v>1</v>
      </c>
      <c r="M232" s="20">
        <v>0.39</v>
      </c>
    </row>
    <row r="233" spans="1:13" x14ac:dyDescent="0.3">
      <c r="A233" s="248" t="s">
        <v>711</v>
      </c>
      <c r="B233" s="18" t="s">
        <v>712</v>
      </c>
      <c r="C233" s="19">
        <v>0.1</v>
      </c>
      <c r="D233" s="19">
        <v>0.14000000000000001</v>
      </c>
      <c r="E233" s="20">
        <v>0.13</v>
      </c>
      <c r="F233" s="350"/>
      <c r="G233" s="350"/>
      <c r="H233" s="350"/>
      <c r="I233" s="21" t="s">
        <v>427</v>
      </c>
      <c r="J233" s="19">
        <v>0.16</v>
      </c>
      <c r="K233" s="19">
        <v>0.12</v>
      </c>
      <c r="L233" s="19">
        <v>0.28000000000000003</v>
      </c>
      <c r="M233" s="20">
        <v>0.14000000000000001</v>
      </c>
    </row>
    <row r="234" spans="1:13" x14ac:dyDescent="0.3">
      <c r="A234" s="249" t="s">
        <v>713</v>
      </c>
      <c r="B234" s="18" t="s">
        <v>714</v>
      </c>
      <c r="C234" s="19">
        <v>0.74</v>
      </c>
      <c r="D234" s="19">
        <v>0.72</v>
      </c>
      <c r="E234" s="20">
        <v>0.42</v>
      </c>
      <c r="F234" s="350"/>
      <c r="G234" s="350"/>
      <c r="H234" s="350"/>
      <c r="I234" s="21" t="s">
        <v>236</v>
      </c>
      <c r="J234" s="19">
        <v>0.38</v>
      </c>
      <c r="K234" s="19">
        <v>0.57999999999999996</v>
      </c>
      <c r="L234" s="19">
        <v>0.43</v>
      </c>
      <c r="M234" s="20">
        <v>0.74</v>
      </c>
    </row>
    <row r="235" spans="1:13" x14ac:dyDescent="0.3">
      <c r="A235" s="250" t="s">
        <v>715</v>
      </c>
      <c r="B235" s="18" t="s">
        <v>716</v>
      </c>
      <c r="C235" s="19">
        <v>0.28000000000000003</v>
      </c>
      <c r="D235" s="19">
        <v>0.24</v>
      </c>
      <c r="E235" s="20">
        <v>0.2</v>
      </c>
      <c r="F235" s="350"/>
      <c r="G235" s="350"/>
      <c r="H235" s="350"/>
      <c r="I235" s="21" t="s">
        <v>148</v>
      </c>
      <c r="J235" s="19">
        <v>0.18</v>
      </c>
      <c r="K235" s="19">
        <v>0.24</v>
      </c>
      <c r="L235" s="19">
        <v>0.31</v>
      </c>
      <c r="M235" s="20">
        <v>0.28000000000000003</v>
      </c>
    </row>
    <row r="236" spans="1:13" x14ac:dyDescent="0.3">
      <c r="A236" s="251" t="s">
        <v>717</v>
      </c>
      <c r="B236" s="18" t="s">
        <v>718</v>
      </c>
      <c r="C236" s="19">
        <v>0.33</v>
      </c>
      <c r="D236" s="19">
        <v>0.28999999999999998</v>
      </c>
      <c r="E236" s="20">
        <v>0.31</v>
      </c>
      <c r="F236" s="350"/>
      <c r="G236" s="350"/>
      <c r="H236" s="350"/>
      <c r="I236" s="21" t="s">
        <v>719</v>
      </c>
      <c r="J236" s="19">
        <v>0.05</v>
      </c>
      <c r="K236" s="19">
        <v>0.31</v>
      </c>
      <c r="L236" s="19">
        <v>0.1</v>
      </c>
      <c r="M236" s="20">
        <v>0.33</v>
      </c>
    </row>
    <row r="237" spans="1:13" x14ac:dyDescent="0.3">
      <c r="A237" s="252" t="s">
        <v>720</v>
      </c>
      <c r="B237" s="18" t="s">
        <v>721</v>
      </c>
      <c r="C237" s="19">
        <v>0.33</v>
      </c>
      <c r="D237" s="19">
        <v>0.24</v>
      </c>
      <c r="E237" s="20">
        <v>0.22</v>
      </c>
      <c r="F237" s="350"/>
      <c r="G237" s="350"/>
      <c r="H237" s="350"/>
      <c r="I237" s="21" t="s">
        <v>325</v>
      </c>
      <c r="J237" s="19">
        <v>0.21</v>
      </c>
      <c r="K237" s="19">
        <v>0.27</v>
      </c>
      <c r="L237" s="19">
        <v>0.35</v>
      </c>
      <c r="M237" s="20">
        <v>0.33</v>
      </c>
    </row>
    <row r="238" spans="1:13" hidden="1" x14ac:dyDescent="0.3">
      <c r="A238" s="253" t="s">
        <v>722</v>
      </c>
      <c r="B238" s="18" t="s">
        <v>723</v>
      </c>
      <c r="C238" s="19">
        <v>0.55000000000000004</v>
      </c>
      <c r="D238" s="19">
        <v>0</v>
      </c>
      <c r="E238" s="20">
        <v>0.55000000000000004</v>
      </c>
      <c r="F238" s="350"/>
      <c r="G238" s="350"/>
      <c r="H238" s="350"/>
      <c r="I238" s="21" t="s">
        <v>724</v>
      </c>
      <c r="J238" s="19">
        <v>1</v>
      </c>
      <c r="K238" s="19">
        <v>0.27</v>
      </c>
      <c r="L238" s="19">
        <v>1</v>
      </c>
      <c r="M238" s="20">
        <v>0.55000000000000004</v>
      </c>
    </row>
    <row r="239" spans="1:13" x14ac:dyDescent="0.3">
      <c r="A239" s="254" t="s">
        <v>725</v>
      </c>
      <c r="B239" s="18" t="s">
        <v>726</v>
      </c>
      <c r="C239" s="19">
        <v>0.28999999999999998</v>
      </c>
      <c r="D239" s="19">
        <v>0.36</v>
      </c>
      <c r="E239" s="20">
        <v>0.14000000000000001</v>
      </c>
      <c r="F239" s="350"/>
      <c r="G239" s="350"/>
      <c r="H239" s="350"/>
      <c r="I239" s="21" t="s">
        <v>727</v>
      </c>
      <c r="J239" s="19">
        <v>0.45</v>
      </c>
      <c r="K239" s="19">
        <v>0.25</v>
      </c>
      <c r="L239" s="19">
        <v>0.62</v>
      </c>
      <c r="M239" s="20">
        <v>0.36</v>
      </c>
    </row>
    <row r="240" spans="1:13" x14ac:dyDescent="0.3">
      <c r="A240" s="255" t="s">
        <v>728</v>
      </c>
      <c r="B240" s="18" t="s">
        <v>729</v>
      </c>
      <c r="C240" s="19">
        <v>0.33</v>
      </c>
      <c r="D240" s="19">
        <v>0.42</v>
      </c>
      <c r="E240" s="20">
        <v>0.18</v>
      </c>
      <c r="F240" s="350"/>
      <c r="G240" s="350"/>
      <c r="H240" s="350"/>
      <c r="I240" s="21" t="s">
        <v>730</v>
      </c>
      <c r="J240" s="19">
        <v>0.39</v>
      </c>
      <c r="K240" s="19">
        <v>0.3</v>
      </c>
      <c r="L240" s="19">
        <v>0.56000000000000005</v>
      </c>
      <c r="M240" s="20">
        <v>0.42</v>
      </c>
    </row>
    <row r="241" spans="1:13" hidden="1" x14ac:dyDescent="0.3">
      <c r="A241" s="256" t="s">
        <v>731</v>
      </c>
      <c r="B241" s="18" t="s">
        <v>732</v>
      </c>
      <c r="C241" s="19">
        <v>1</v>
      </c>
      <c r="D241" s="19">
        <v>0.55000000000000004</v>
      </c>
      <c r="E241" s="20">
        <v>0</v>
      </c>
      <c r="F241" s="350"/>
      <c r="G241" s="350"/>
      <c r="H241" s="350"/>
      <c r="I241" s="21" t="s">
        <v>284</v>
      </c>
      <c r="J241" s="19">
        <v>1</v>
      </c>
      <c r="K241" s="19">
        <v>0.5</v>
      </c>
      <c r="L241" s="19">
        <v>1</v>
      </c>
      <c r="M241" s="20">
        <v>1</v>
      </c>
    </row>
    <row r="242" spans="1:13" hidden="1" x14ac:dyDescent="0.3">
      <c r="A242" s="257" t="s">
        <v>733</v>
      </c>
      <c r="B242" s="18" t="s">
        <v>734</v>
      </c>
      <c r="C242" s="19">
        <v>0.6</v>
      </c>
      <c r="D242" s="19">
        <v>0.2</v>
      </c>
      <c r="E242" s="20">
        <v>0.8</v>
      </c>
      <c r="F242" s="350"/>
      <c r="G242" s="350"/>
      <c r="H242" s="350"/>
      <c r="I242" s="21" t="s">
        <v>735</v>
      </c>
      <c r="J242" s="19">
        <v>0.61</v>
      </c>
      <c r="K242" s="19">
        <v>0.5</v>
      </c>
      <c r="L242" s="19">
        <v>0.75</v>
      </c>
      <c r="M242" s="20">
        <v>0.8</v>
      </c>
    </row>
    <row r="243" spans="1:13" hidden="1" x14ac:dyDescent="0.3">
      <c r="A243" s="258" t="s">
        <v>736</v>
      </c>
      <c r="B243" s="18" t="s">
        <v>737</v>
      </c>
      <c r="C243" s="19">
        <v>0.01</v>
      </c>
      <c r="D243" s="19">
        <v>0.75</v>
      </c>
      <c r="E243" s="20">
        <v>0.24</v>
      </c>
      <c r="F243" s="350"/>
      <c r="G243" s="350"/>
      <c r="H243" s="350"/>
      <c r="I243" s="21" t="s">
        <v>738</v>
      </c>
      <c r="J243" s="19">
        <v>0.97</v>
      </c>
      <c r="K243" s="19">
        <v>0.38</v>
      </c>
      <c r="L243" s="19">
        <v>0.98</v>
      </c>
      <c r="M243" s="20">
        <v>0.75</v>
      </c>
    </row>
    <row r="244" spans="1:13" x14ac:dyDescent="0.3">
      <c r="A244" s="259" t="s">
        <v>739</v>
      </c>
      <c r="B244" s="18" t="s">
        <v>740</v>
      </c>
      <c r="C244" s="19">
        <v>0.19</v>
      </c>
      <c r="D244" s="19">
        <v>0.1</v>
      </c>
      <c r="E244" s="20">
        <v>0.2</v>
      </c>
      <c r="F244" s="350"/>
      <c r="G244" s="350"/>
      <c r="H244" s="350"/>
      <c r="I244" s="21" t="s">
        <v>741</v>
      </c>
      <c r="J244" s="19">
        <v>0.35</v>
      </c>
      <c r="K244" s="19">
        <v>0.15</v>
      </c>
      <c r="L244" s="19">
        <v>0.51</v>
      </c>
      <c r="M244" s="20">
        <v>0.2</v>
      </c>
    </row>
    <row r="245" spans="1:13" hidden="1" x14ac:dyDescent="0.3">
      <c r="A245" s="260" t="s">
        <v>742</v>
      </c>
      <c r="B245" s="18" t="s">
        <v>743</v>
      </c>
      <c r="C245" s="19">
        <v>0.55000000000000004</v>
      </c>
      <c r="D245" s="19">
        <v>0</v>
      </c>
      <c r="E245" s="20">
        <v>0</v>
      </c>
      <c r="F245" s="350"/>
      <c r="G245" s="350"/>
      <c r="H245" s="350"/>
      <c r="I245" s="21" t="s">
        <v>233</v>
      </c>
      <c r="J245" s="19">
        <v>1</v>
      </c>
      <c r="K245" s="19">
        <v>0.27</v>
      </c>
      <c r="L245" s="19">
        <v>1</v>
      </c>
      <c r="M245" s="20">
        <v>0.55000000000000004</v>
      </c>
    </row>
    <row r="246" spans="1:13" hidden="1" x14ac:dyDescent="0.3">
      <c r="A246" s="261" t="s">
        <v>744</v>
      </c>
      <c r="B246" s="18" t="s">
        <v>745</v>
      </c>
      <c r="C246" s="19">
        <v>0.91</v>
      </c>
      <c r="D246" s="19">
        <v>0.59</v>
      </c>
      <c r="E246" s="20">
        <v>0.48</v>
      </c>
      <c r="F246" s="350"/>
      <c r="G246" s="350"/>
      <c r="H246" s="350"/>
      <c r="I246" s="21" t="s">
        <v>746</v>
      </c>
      <c r="J246" s="19">
        <v>0.72</v>
      </c>
      <c r="K246" s="19">
        <v>0.7</v>
      </c>
      <c r="L246" s="19">
        <v>0.48</v>
      </c>
      <c r="M246" s="20">
        <v>0.91</v>
      </c>
    </row>
    <row r="247" spans="1:13" x14ac:dyDescent="0.3">
      <c r="A247" s="262" t="s">
        <v>747</v>
      </c>
      <c r="B247" s="18" t="s">
        <v>748</v>
      </c>
      <c r="C247" s="19">
        <v>0.56000000000000005</v>
      </c>
      <c r="D247" s="19">
        <v>0.74</v>
      </c>
      <c r="E247" s="20">
        <v>0.56000000000000005</v>
      </c>
      <c r="F247" s="350"/>
      <c r="G247" s="350"/>
      <c r="H247" s="350"/>
      <c r="I247" s="21" t="s">
        <v>198</v>
      </c>
      <c r="J247" s="19">
        <v>0.25</v>
      </c>
      <c r="K247" s="19">
        <v>0.65</v>
      </c>
      <c r="L247" s="19">
        <v>0.24</v>
      </c>
      <c r="M247" s="20">
        <v>0.74</v>
      </c>
    </row>
    <row r="248" spans="1:13" x14ac:dyDescent="0.3">
      <c r="A248" s="263" t="s">
        <v>749</v>
      </c>
      <c r="B248" s="18" t="s">
        <v>750</v>
      </c>
      <c r="C248" s="19">
        <v>0.24</v>
      </c>
      <c r="D248" s="19">
        <v>0.08</v>
      </c>
      <c r="E248" s="20">
        <v>0.08</v>
      </c>
      <c r="F248" s="350"/>
      <c r="G248" s="350"/>
      <c r="H248" s="350"/>
      <c r="I248" s="21" t="s">
        <v>233</v>
      </c>
      <c r="J248" s="19">
        <v>0.5</v>
      </c>
      <c r="K248" s="19">
        <v>0.16</v>
      </c>
      <c r="L248" s="19">
        <v>0.67</v>
      </c>
      <c r="M248" s="20">
        <v>0.24</v>
      </c>
    </row>
    <row r="249" spans="1:13" hidden="1" x14ac:dyDescent="0.3">
      <c r="A249" s="264" t="s">
        <v>751</v>
      </c>
      <c r="B249" s="18" t="s">
        <v>752</v>
      </c>
      <c r="C249" s="19">
        <v>0.55000000000000004</v>
      </c>
      <c r="D249" s="19">
        <v>0.75</v>
      </c>
      <c r="E249" s="20">
        <v>0.84</v>
      </c>
      <c r="F249" s="350"/>
      <c r="G249" s="350"/>
      <c r="H249" s="350"/>
      <c r="I249" s="21" t="s">
        <v>247</v>
      </c>
      <c r="J249" s="19">
        <v>0.47</v>
      </c>
      <c r="K249" s="19">
        <v>0.69</v>
      </c>
      <c r="L249" s="19">
        <v>0.35</v>
      </c>
      <c r="M249" s="20">
        <v>0.84</v>
      </c>
    </row>
    <row r="250" spans="1:13" x14ac:dyDescent="0.3">
      <c r="A250" s="265" t="s">
        <v>753</v>
      </c>
      <c r="B250" s="18" t="s">
        <v>754</v>
      </c>
      <c r="C250" s="19">
        <v>0.28000000000000003</v>
      </c>
      <c r="D250" s="19">
        <v>0.24</v>
      </c>
      <c r="E250" s="20">
        <v>0.55000000000000004</v>
      </c>
      <c r="F250" s="350"/>
      <c r="G250" s="350"/>
      <c r="H250" s="350"/>
      <c r="I250" s="21" t="s">
        <v>755</v>
      </c>
      <c r="J250" s="19">
        <v>0.39</v>
      </c>
      <c r="K250" s="19">
        <v>0.39</v>
      </c>
      <c r="L250" s="19">
        <v>0.56000000000000005</v>
      </c>
      <c r="M250" s="20">
        <v>0.55000000000000004</v>
      </c>
    </row>
    <row r="251" spans="1:13" x14ac:dyDescent="0.3">
      <c r="A251" s="266" t="s">
        <v>756</v>
      </c>
      <c r="B251" s="18" t="s">
        <v>757</v>
      </c>
      <c r="C251" s="19">
        <v>0.18</v>
      </c>
      <c r="D251" s="19">
        <v>0.31</v>
      </c>
      <c r="E251" s="20">
        <v>0.31</v>
      </c>
      <c r="F251" s="350"/>
      <c r="G251" s="350"/>
      <c r="H251" s="350"/>
      <c r="I251" s="21" t="s">
        <v>206</v>
      </c>
      <c r="J251" s="19">
        <v>0.25</v>
      </c>
      <c r="K251" s="19">
        <v>0.25</v>
      </c>
      <c r="L251" s="19">
        <v>0.41</v>
      </c>
      <c r="M251" s="20">
        <v>0.31</v>
      </c>
    </row>
    <row r="252" spans="1:13" x14ac:dyDescent="0.3">
      <c r="A252" s="267" t="s">
        <v>758</v>
      </c>
      <c r="B252" s="18" t="s">
        <v>759</v>
      </c>
      <c r="C252" s="19">
        <v>0.09</v>
      </c>
      <c r="D252" s="19">
        <v>0.45</v>
      </c>
      <c r="E252" s="20">
        <v>0.27</v>
      </c>
      <c r="F252" s="350"/>
      <c r="G252" s="350"/>
      <c r="H252" s="350"/>
      <c r="I252" s="21" t="s">
        <v>760</v>
      </c>
      <c r="J252" s="19">
        <v>0.66</v>
      </c>
      <c r="K252" s="19">
        <v>0.27</v>
      </c>
      <c r="L252" s="19">
        <v>0.8</v>
      </c>
      <c r="M252" s="20">
        <v>0.45</v>
      </c>
    </row>
    <row r="253" spans="1:13" hidden="1" x14ac:dyDescent="0.3">
      <c r="A253" s="268" t="s">
        <v>761</v>
      </c>
      <c r="B253" s="18" t="s">
        <v>762</v>
      </c>
      <c r="C253" s="19">
        <v>0</v>
      </c>
      <c r="D253" s="19">
        <v>0.81</v>
      </c>
      <c r="E253" s="20">
        <v>0.82</v>
      </c>
      <c r="F253" s="350"/>
      <c r="G253" s="350"/>
      <c r="H253" s="350"/>
      <c r="I253" s="21" t="s">
        <v>763</v>
      </c>
      <c r="J253" s="19">
        <v>1</v>
      </c>
      <c r="K253" s="19">
        <v>0.41</v>
      </c>
      <c r="L253" s="19">
        <v>1</v>
      </c>
      <c r="M253" s="20">
        <v>0.82</v>
      </c>
    </row>
    <row r="254" spans="1:13" hidden="1" x14ac:dyDescent="0.3">
      <c r="A254" s="269" t="s">
        <v>764</v>
      </c>
      <c r="B254" s="18" t="s">
        <v>765</v>
      </c>
      <c r="C254" s="19">
        <v>0.57999999999999996</v>
      </c>
      <c r="D254" s="19">
        <v>0</v>
      </c>
      <c r="E254" s="20">
        <v>0.83</v>
      </c>
      <c r="F254" s="350"/>
      <c r="G254" s="350"/>
      <c r="H254" s="350"/>
      <c r="I254" s="21" t="s">
        <v>766</v>
      </c>
      <c r="J254" s="19">
        <v>1</v>
      </c>
      <c r="K254" s="19">
        <v>0.41</v>
      </c>
      <c r="L254" s="19">
        <v>1</v>
      </c>
      <c r="M254" s="20">
        <v>0.83</v>
      </c>
    </row>
    <row r="255" spans="1:13" hidden="1" x14ac:dyDescent="0.3">
      <c r="A255" s="270" t="s">
        <v>767</v>
      </c>
      <c r="B255" s="18" t="s">
        <v>768</v>
      </c>
      <c r="C255" s="19">
        <v>0</v>
      </c>
      <c r="D255" s="19">
        <v>0.44</v>
      </c>
      <c r="E255" s="20">
        <v>0.24</v>
      </c>
      <c r="F255" s="350"/>
      <c r="G255" s="350"/>
      <c r="H255" s="350"/>
      <c r="I255" s="21" t="s">
        <v>769</v>
      </c>
      <c r="J255" s="19">
        <v>1</v>
      </c>
      <c r="K255" s="19">
        <v>0.22</v>
      </c>
      <c r="L255" s="19">
        <v>1</v>
      </c>
      <c r="M255" s="20">
        <v>0.44</v>
      </c>
    </row>
    <row r="256" spans="1:13" x14ac:dyDescent="0.3">
      <c r="A256" s="271" t="s">
        <v>770</v>
      </c>
      <c r="B256" s="18" t="s">
        <v>771</v>
      </c>
      <c r="C256" s="19">
        <v>0.33</v>
      </c>
      <c r="D256" s="19">
        <v>0.33</v>
      </c>
      <c r="E256" s="20">
        <v>0.33</v>
      </c>
      <c r="F256" s="350"/>
      <c r="G256" s="350"/>
      <c r="H256" s="350"/>
      <c r="I256" s="21" t="s">
        <v>303</v>
      </c>
      <c r="J256" s="19">
        <v>0</v>
      </c>
      <c r="K256" s="19">
        <v>0.33</v>
      </c>
      <c r="L256" s="19">
        <v>0</v>
      </c>
      <c r="M256" s="20">
        <v>0.33</v>
      </c>
    </row>
    <row r="257" spans="1:13" hidden="1" x14ac:dyDescent="0.3">
      <c r="A257" s="272" t="s">
        <v>772</v>
      </c>
      <c r="B257" s="18" t="s">
        <v>773</v>
      </c>
      <c r="C257" s="19">
        <v>0.85</v>
      </c>
      <c r="D257" s="19">
        <v>0.2</v>
      </c>
      <c r="E257" s="20">
        <v>0.53</v>
      </c>
      <c r="F257" s="350"/>
      <c r="G257" s="350"/>
      <c r="H257" s="350"/>
      <c r="I257" s="21" t="s">
        <v>719</v>
      </c>
      <c r="J257" s="19">
        <v>0.69</v>
      </c>
      <c r="K257" s="19">
        <v>0.53</v>
      </c>
      <c r="L257" s="19">
        <v>0.77</v>
      </c>
      <c r="M257" s="20">
        <v>0.85</v>
      </c>
    </row>
    <row r="258" spans="1:13" hidden="1" x14ac:dyDescent="0.3">
      <c r="A258" s="273" t="s">
        <v>774</v>
      </c>
      <c r="B258" s="18" t="s">
        <v>775</v>
      </c>
      <c r="C258" s="19">
        <v>0.98</v>
      </c>
      <c r="D258" s="19">
        <v>0.84</v>
      </c>
      <c r="E258" s="20">
        <v>0.65</v>
      </c>
      <c r="F258" s="350"/>
      <c r="G258" s="350"/>
      <c r="H258" s="350"/>
      <c r="I258" s="21" t="s">
        <v>422</v>
      </c>
      <c r="J258" s="19">
        <v>0.9</v>
      </c>
      <c r="K258" s="19">
        <v>0.81</v>
      </c>
      <c r="L258" s="19">
        <v>0.34</v>
      </c>
      <c r="M258" s="20">
        <v>0.98</v>
      </c>
    </row>
    <row r="259" spans="1:13" x14ac:dyDescent="0.3">
      <c r="A259" s="274" t="s">
        <v>776</v>
      </c>
      <c r="B259" s="18" t="s">
        <v>777</v>
      </c>
      <c r="C259" s="19">
        <v>0.73</v>
      </c>
      <c r="D259" s="19">
        <v>0.31</v>
      </c>
      <c r="E259" s="20">
        <v>0.28000000000000003</v>
      </c>
      <c r="F259" s="350"/>
      <c r="G259" s="350"/>
      <c r="H259" s="350"/>
      <c r="I259" s="21" t="s">
        <v>778</v>
      </c>
      <c r="J259" s="19">
        <v>0.45</v>
      </c>
      <c r="K259" s="19">
        <v>0.5</v>
      </c>
      <c r="L259" s="19">
        <v>0.61</v>
      </c>
      <c r="M259" s="20">
        <v>0.73</v>
      </c>
    </row>
    <row r="260" spans="1:13" hidden="1" x14ac:dyDescent="0.3">
      <c r="A260" s="275" t="s">
        <v>779</v>
      </c>
      <c r="B260" s="18" t="s">
        <v>780</v>
      </c>
      <c r="C260" s="19">
        <v>0</v>
      </c>
      <c r="D260" s="19">
        <v>0.28999999999999998</v>
      </c>
      <c r="E260" s="20">
        <v>0.28999999999999998</v>
      </c>
      <c r="F260" s="350"/>
      <c r="G260" s="350"/>
      <c r="H260" s="350"/>
      <c r="I260" s="21" t="s">
        <v>781</v>
      </c>
      <c r="J260" s="19">
        <v>1</v>
      </c>
      <c r="K260" s="19">
        <v>0.15</v>
      </c>
      <c r="L260" s="19">
        <v>1</v>
      </c>
      <c r="M260" s="20">
        <v>0.28999999999999998</v>
      </c>
    </row>
    <row r="261" spans="1:13" hidden="1" x14ac:dyDescent="0.3">
      <c r="A261" s="276" t="s">
        <v>782</v>
      </c>
      <c r="B261" s="18" t="s">
        <v>783</v>
      </c>
      <c r="C261" s="19">
        <v>1</v>
      </c>
      <c r="D261" s="19">
        <v>0.08</v>
      </c>
      <c r="E261" s="20">
        <v>0.57999999999999996</v>
      </c>
      <c r="F261" s="350"/>
      <c r="G261" s="350"/>
      <c r="H261" s="350"/>
      <c r="I261" s="21" t="s">
        <v>157</v>
      </c>
      <c r="J261" s="19">
        <v>1</v>
      </c>
      <c r="K261" s="19">
        <v>0.54</v>
      </c>
      <c r="L261" s="19">
        <v>0.92</v>
      </c>
      <c r="M261" s="20">
        <v>1</v>
      </c>
    </row>
    <row r="262" spans="1:13" hidden="1" x14ac:dyDescent="0.3">
      <c r="A262" s="277" t="s">
        <v>784</v>
      </c>
      <c r="B262" s="18" t="s">
        <v>785</v>
      </c>
      <c r="C262" s="19">
        <v>1</v>
      </c>
      <c r="D262" s="19">
        <v>0.6</v>
      </c>
      <c r="E262" s="20">
        <v>0.2</v>
      </c>
      <c r="F262" s="350"/>
      <c r="G262" s="350"/>
      <c r="H262" s="350"/>
      <c r="I262" s="21" t="s">
        <v>151</v>
      </c>
      <c r="J262" s="19">
        <v>1</v>
      </c>
      <c r="K262" s="19">
        <v>0.6</v>
      </c>
      <c r="L262" s="19">
        <v>0.8</v>
      </c>
      <c r="M262" s="20">
        <v>1</v>
      </c>
    </row>
    <row r="263" spans="1:13" hidden="1" x14ac:dyDescent="0.3">
      <c r="A263" s="161" t="s">
        <v>786</v>
      </c>
      <c r="B263" s="18" t="s">
        <v>497</v>
      </c>
      <c r="C263" s="19">
        <v>0</v>
      </c>
      <c r="D263" s="19">
        <v>0.75</v>
      </c>
      <c r="E263" s="20">
        <v>1</v>
      </c>
      <c r="F263" s="350"/>
      <c r="G263" s="350"/>
      <c r="H263" s="350"/>
      <c r="I263" s="21" t="s">
        <v>498</v>
      </c>
      <c r="J263" s="19">
        <v>1</v>
      </c>
      <c r="K263" s="19">
        <v>0.5</v>
      </c>
      <c r="L263" s="19">
        <v>1</v>
      </c>
      <c r="M263" s="20">
        <v>1</v>
      </c>
    </row>
    <row r="264" spans="1:13" x14ac:dyDescent="0.3">
      <c r="A264" s="278" t="s">
        <v>787</v>
      </c>
      <c r="B264" s="18" t="s">
        <v>788</v>
      </c>
      <c r="C264" s="19">
        <v>0.28999999999999998</v>
      </c>
      <c r="D264" s="19">
        <v>0.39</v>
      </c>
      <c r="E264" s="20">
        <v>0.42</v>
      </c>
      <c r="F264" s="350"/>
      <c r="G264" s="350"/>
      <c r="H264" s="350"/>
      <c r="I264" s="21" t="s">
        <v>550</v>
      </c>
      <c r="J264" s="19">
        <v>0.19</v>
      </c>
      <c r="K264" s="19">
        <v>0.36</v>
      </c>
      <c r="L264" s="19">
        <v>0.31</v>
      </c>
      <c r="M264" s="20">
        <v>0.42</v>
      </c>
    </row>
    <row r="265" spans="1:13" x14ac:dyDescent="0.3">
      <c r="A265" s="279" t="s">
        <v>789</v>
      </c>
      <c r="B265" s="18" t="s">
        <v>790</v>
      </c>
      <c r="C265" s="19">
        <v>0.49</v>
      </c>
      <c r="D265" s="19">
        <v>0.37</v>
      </c>
      <c r="E265" s="20">
        <v>0.38</v>
      </c>
      <c r="F265" s="350"/>
      <c r="G265" s="350"/>
      <c r="H265" s="350"/>
      <c r="I265" s="21" t="s">
        <v>166</v>
      </c>
      <c r="J265" s="19">
        <v>0.15</v>
      </c>
      <c r="K265" s="19">
        <v>0.43</v>
      </c>
      <c r="L265" s="19">
        <v>0.25</v>
      </c>
      <c r="M265" s="20">
        <v>0.49</v>
      </c>
    </row>
    <row r="266" spans="1:13" x14ac:dyDescent="0.3">
      <c r="A266" s="280" t="s">
        <v>791</v>
      </c>
      <c r="B266" s="18" t="s">
        <v>792</v>
      </c>
      <c r="C266" s="19">
        <v>0.08</v>
      </c>
      <c r="D266" s="19">
        <v>0.38</v>
      </c>
      <c r="E266" s="20">
        <v>0.74</v>
      </c>
      <c r="F266" s="350"/>
      <c r="G266" s="350"/>
      <c r="H266" s="350"/>
      <c r="I266" s="21" t="s">
        <v>793</v>
      </c>
      <c r="J266" s="19">
        <v>0.8</v>
      </c>
      <c r="K266" s="19">
        <v>0.41</v>
      </c>
      <c r="L266" s="19">
        <v>0.89</v>
      </c>
      <c r="M266" s="20">
        <v>0.74</v>
      </c>
    </row>
    <row r="267" spans="1:13" x14ac:dyDescent="0.3">
      <c r="A267" s="281" t="s">
        <v>794</v>
      </c>
      <c r="B267" s="18" t="s">
        <v>795</v>
      </c>
      <c r="C267" s="19">
        <v>0.13</v>
      </c>
      <c r="D267" s="19">
        <v>0.26</v>
      </c>
      <c r="E267" s="20">
        <v>0.71</v>
      </c>
      <c r="F267" s="350"/>
      <c r="G267" s="350"/>
      <c r="H267" s="350"/>
      <c r="I267" s="21" t="s">
        <v>796</v>
      </c>
      <c r="J267" s="19">
        <v>0.69</v>
      </c>
      <c r="K267" s="19">
        <v>0.42</v>
      </c>
      <c r="L267" s="19">
        <v>0.81</v>
      </c>
      <c r="M267" s="20">
        <v>0.71</v>
      </c>
    </row>
    <row r="268" spans="1:13" hidden="1" x14ac:dyDescent="0.3">
      <c r="A268" s="155" t="s">
        <v>797</v>
      </c>
      <c r="B268" s="18" t="s">
        <v>483</v>
      </c>
      <c r="C268" s="19">
        <v>0.76</v>
      </c>
      <c r="D268" s="19">
        <v>0.6</v>
      </c>
      <c r="E268" s="20">
        <v>0.42</v>
      </c>
      <c r="F268" s="350"/>
      <c r="G268" s="350"/>
      <c r="H268" s="350"/>
      <c r="I268" s="21" t="s">
        <v>284</v>
      </c>
      <c r="J268" s="19">
        <v>0.41</v>
      </c>
      <c r="K268" s="19">
        <v>0.59</v>
      </c>
      <c r="L268" s="19">
        <v>0.45</v>
      </c>
      <c r="M268" s="20">
        <v>0.76</v>
      </c>
    </row>
    <row r="269" spans="1:13" hidden="1" x14ac:dyDescent="0.3">
      <c r="A269" s="282" t="s">
        <v>798</v>
      </c>
      <c r="B269" s="18" t="s">
        <v>799</v>
      </c>
      <c r="C269" s="19">
        <v>0.93</v>
      </c>
      <c r="D269" s="19">
        <v>0.79</v>
      </c>
      <c r="E269" s="20">
        <v>0.69</v>
      </c>
      <c r="F269" s="350"/>
      <c r="G269" s="350"/>
      <c r="H269" s="350"/>
      <c r="I269" s="21" t="s">
        <v>442</v>
      </c>
      <c r="J269" s="19">
        <v>0.63</v>
      </c>
      <c r="K269" s="19">
        <v>0.81</v>
      </c>
      <c r="L269" s="19">
        <v>0.26</v>
      </c>
      <c r="M269" s="20">
        <v>0.93</v>
      </c>
    </row>
    <row r="270" spans="1:13" x14ac:dyDescent="0.3">
      <c r="A270" s="283" t="s">
        <v>800</v>
      </c>
      <c r="B270" s="18" t="s">
        <v>801</v>
      </c>
      <c r="C270" s="19">
        <v>0.41</v>
      </c>
      <c r="D270" s="19">
        <v>0.41</v>
      </c>
      <c r="E270" s="20">
        <v>0.41</v>
      </c>
      <c r="F270" s="350"/>
      <c r="G270" s="350"/>
      <c r="H270" s="350"/>
      <c r="I270" s="21" t="s">
        <v>303</v>
      </c>
      <c r="J270" s="19">
        <v>0</v>
      </c>
      <c r="K270" s="19">
        <v>0.41</v>
      </c>
      <c r="L270" s="19">
        <v>0</v>
      </c>
      <c r="M270" s="20">
        <v>0.41</v>
      </c>
    </row>
    <row r="271" spans="1:13" hidden="1" x14ac:dyDescent="0.3">
      <c r="A271" s="284" t="s">
        <v>802</v>
      </c>
      <c r="B271" s="18" t="s">
        <v>803</v>
      </c>
      <c r="C271" s="19">
        <v>0.12</v>
      </c>
      <c r="D271" s="19">
        <v>0.56000000000000005</v>
      </c>
      <c r="E271" s="20">
        <v>1</v>
      </c>
      <c r="F271" s="350"/>
      <c r="G271" s="350"/>
      <c r="H271" s="350"/>
      <c r="I271" s="21" t="s">
        <v>242</v>
      </c>
      <c r="J271" s="19">
        <v>1</v>
      </c>
      <c r="K271" s="19">
        <v>0.56000000000000005</v>
      </c>
      <c r="L271" s="19">
        <v>0.88</v>
      </c>
      <c r="M271" s="20">
        <v>1</v>
      </c>
    </row>
    <row r="272" spans="1:13" hidden="1" x14ac:dyDescent="0.3">
      <c r="A272" s="285" t="s">
        <v>804</v>
      </c>
      <c r="B272" s="18" t="s">
        <v>805</v>
      </c>
      <c r="C272" s="19">
        <v>0.84</v>
      </c>
      <c r="D272" s="19">
        <v>0.09</v>
      </c>
      <c r="E272" s="20">
        <v>0.41</v>
      </c>
      <c r="F272" s="350"/>
      <c r="G272" s="350"/>
      <c r="H272" s="350"/>
      <c r="I272" s="21" t="s">
        <v>806</v>
      </c>
      <c r="J272" s="19">
        <v>0.8</v>
      </c>
      <c r="K272" s="19">
        <v>0.47</v>
      </c>
      <c r="L272" s="19">
        <v>0.89</v>
      </c>
      <c r="M272" s="20">
        <v>0.84</v>
      </c>
    </row>
    <row r="273" spans="1:13" x14ac:dyDescent="0.3">
      <c r="A273" s="80" t="s">
        <v>807</v>
      </c>
      <c r="B273" s="18" t="s">
        <v>288</v>
      </c>
      <c r="C273" s="19">
        <v>0.59</v>
      </c>
      <c r="D273" s="19">
        <v>0.44</v>
      </c>
      <c r="E273" s="20">
        <v>0.09</v>
      </c>
      <c r="F273" s="350"/>
      <c r="G273" s="350"/>
      <c r="H273" s="350"/>
      <c r="I273" s="21" t="s">
        <v>261</v>
      </c>
      <c r="J273" s="19">
        <v>0.73</v>
      </c>
      <c r="K273" s="19">
        <v>0.34</v>
      </c>
      <c r="L273" s="19">
        <v>0.85</v>
      </c>
      <c r="M273" s="20">
        <v>0.59</v>
      </c>
    </row>
    <row r="274" spans="1:13" hidden="1" x14ac:dyDescent="0.3">
      <c r="A274" s="286" t="s">
        <v>808</v>
      </c>
      <c r="B274" s="18" t="s">
        <v>809</v>
      </c>
      <c r="C274" s="19">
        <v>0</v>
      </c>
      <c r="D274" s="19">
        <v>0</v>
      </c>
      <c r="E274" s="20">
        <v>0.61</v>
      </c>
      <c r="F274" s="350"/>
      <c r="G274" s="350"/>
      <c r="H274" s="350"/>
      <c r="I274" s="21" t="s">
        <v>336</v>
      </c>
      <c r="J274" s="19">
        <v>1</v>
      </c>
      <c r="K274" s="19">
        <v>0.31</v>
      </c>
      <c r="L274" s="19">
        <v>1</v>
      </c>
      <c r="M274" s="20">
        <v>0.61</v>
      </c>
    </row>
    <row r="275" spans="1:13" hidden="1" x14ac:dyDescent="0.3">
      <c r="A275" s="287" t="s">
        <v>810</v>
      </c>
      <c r="B275" s="18" t="s">
        <v>811</v>
      </c>
      <c r="C275" s="19">
        <v>0.94</v>
      </c>
      <c r="D275" s="19">
        <v>0.87</v>
      </c>
      <c r="E275" s="20">
        <v>0.73</v>
      </c>
      <c r="F275" s="350"/>
      <c r="G275" s="350"/>
      <c r="H275" s="350"/>
      <c r="I275" s="21" t="s">
        <v>309</v>
      </c>
      <c r="J275" s="19">
        <v>0.62</v>
      </c>
      <c r="K275" s="19">
        <v>0.84</v>
      </c>
      <c r="L275" s="19">
        <v>0.22</v>
      </c>
      <c r="M275" s="20">
        <v>0.94</v>
      </c>
    </row>
    <row r="276" spans="1:13" hidden="1" x14ac:dyDescent="0.3">
      <c r="A276" s="288" t="s">
        <v>812</v>
      </c>
      <c r="B276" s="18" t="s">
        <v>813</v>
      </c>
      <c r="C276" s="19">
        <v>0.88</v>
      </c>
      <c r="D276" s="19">
        <v>0.66</v>
      </c>
      <c r="E276" s="20">
        <v>0.37</v>
      </c>
      <c r="F276" s="350"/>
      <c r="G276" s="350"/>
      <c r="H276" s="350"/>
      <c r="I276" s="21" t="s">
        <v>195</v>
      </c>
      <c r="J276" s="19">
        <v>0.68</v>
      </c>
      <c r="K276" s="19">
        <v>0.63</v>
      </c>
      <c r="L276" s="19">
        <v>0.57999999999999996</v>
      </c>
      <c r="M276" s="20">
        <v>0.88</v>
      </c>
    </row>
    <row r="277" spans="1:13" x14ac:dyDescent="0.3">
      <c r="A277" s="289" t="s">
        <v>814</v>
      </c>
      <c r="B277" s="18" t="s">
        <v>815</v>
      </c>
      <c r="C277" s="19">
        <v>0.33</v>
      </c>
      <c r="D277" s="19">
        <v>0.36</v>
      </c>
      <c r="E277" s="20">
        <v>0.31</v>
      </c>
      <c r="F277" s="350"/>
      <c r="G277" s="350"/>
      <c r="H277" s="350"/>
      <c r="I277" s="21" t="s">
        <v>816</v>
      </c>
      <c r="J277" s="19">
        <v>0.08</v>
      </c>
      <c r="K277" s="19">
        <v>0.34</v>
      </c>
      <c r="L277" s="19">
        <v>0.14000000000000001</v>
      </c>
      <c r="M277" s="20">
        <v>0.36</v>
      </c>
    </row>
    <row r="278" spans="1:13" hidden="1" x14ac:dyDescent="0.3">
      <c r="A278" s="290" t="s">
        <v>817</v>
      </c>
      <c r="B278" s="18" t="s">
        <v>818</v>
      </c>
      <c r="C278" s="19">
        <v>0.76</v>
      </c>
      <c r="D278" s="19">
        <v>0.7</v>
      </c>
      <c r="E278" s="20">
        <v>0.5</v>
      </c>
      <c r="F278" s="350"/>
      <c r="G278" s="350"/>
      <c r="H278" s="350"/>
      <c r="I278" s="21" t="s">
        <v>172</v>
      </c>
      <c r="J278" s="19">
        <v>0.35</v>
      </c>
      <c r="K278" s="19">
        <v>0.63</v>
      </c>
      <c r="L278" s="19">
        <v>0.34</v>
      </c>
      <c r="M278" s="20">
        <v>0.76</v>
      </c>
    </row>
    <row r="279" spans="1:13" x14ac:dyDescent="0.3">
      <c r="A279" s="291" t="s">
        <v>819</v>
      </c>
      <c r="B279" s="18" t="s">
        <v>820</v>
      </c>
      <c r="C279" s="19">
        <v>0.11</v>
      </c>
      <c r="D279" s="19">
        <v>0.11</v>
      </c>
      <c r="E279" s="20">
        <v>0.11</v>
      </c>
      <c r="F279" s="350"/>
      <c r="G279" s="350"/>
      <c r="H279" s="350"/>
      <c r="I279" s="21" t="s">
        <v>303</v>
      </c>
      <c r="J279" s="19">
        <v>0</v>
      </c>
      <c r="K279" s="19">
        <v>0.11</v>
      </c>
      <c r="L279" s="19">
        <v>0</v>
      </c>
      <c r="M279" s="20">
        <v>0.11</v>
      </c>
    </row>
    <row r="280" spans="1:13" x14ac:dyDescent="0.3">
      <c r="A280" s="292" t="s">
        <v>821</v>
      </c>
      <c r="B280" s="18" t="s">
        <v>822</v>
      </c>
      <c r="C280" s="19">
        <v>0.38</v>
      </c>
      <c r="D280" s="19">
        <v>0.25</v>
      </c>
      <c r="E280" s="20">
        <v>0.32</v>
      </c>
      <c r="F280" s="350"/>
      <c r="G280" s="350"/>
      <c r="H280" s="350"/>
      <c r="I280" s="21" t="s">
        <v>823</v>
      </c>
      <c r="J280" s="19">
        <v>0.2</v>
      </c>
      <c r="K280" s="19">
        <v>0.32</v>
      </c>
      <c r="L280" s="19">
        <v>0.34</v>
      </c>
      <c r="M280" s="20">
        <v>0.38</v>
      </c>
    </row>
    <row r="281" spans="1:13" hidden="1" x14ac:dyDescent="0.3">
      <c r="A281" s="293" t="s">
        <v>824</v>
      </c>
      <c r="B281" s="18" t="s">
        <v>825</v>
      </c>
      <c r="C281" s="19">
        <v>0.94</v>
      </c>
      <c r="D281" s="19">
        <v>0.92</v>
      </c>
      <c r="E281" s="20">
        <v>0.84</v>
      </c>
      <c r="F281" s="350"/>
      <c r="G281" s="350"/>
      <c r="H281" s="350"/>
      <c r="I281" s="21" t="s">
        <v>826</v>
      </c>
      <c r="J281" s="19">
        <v>0.46</v>
      </c>
      <c r="K281" s="19">
        <v>0.89</v>
      </c>
      <c r="L281" s="19">
        <v>0.11</v>
      </c>
      <c r="M281" s="20">
        <v>0.94</v>
      </c>
    </row>
    <row r="282" spans="1:13" x14ac:dyDescent="0.3">
      <c r="A282" s="294" t="s">
        <v>827</v>
      </c>
      <c r="B282" s="18" t="s">
        <v>828</v>
      </c>
      <c r="C282" s="19">
        <v>0.06</v>
      </c>
      <c r="D282" s="19">
        <v>0.2</v>
      </c>
      <c r="E282" s="20">
        <v>0.65</v>
      </c>
      <c r="F282" s="350"/>
      <c r="G282" s="350"/>
      <c r="H282" s="350"/>
      <c r="I282" s="21" t="s">
        <v>829</v>
      </c>
      <c r="J282" s="19">
        <v>0.82</v>
      </c>
      <c r="K282" s="19">
        <v>0.36</v>
      </c>
      <c r="L282" s="19">
        <v>0.9</v>
      </c>
      <c r="M282" s="20">
        <v>0.65</v>
      </c>
    </row>
    <row r="283" spans="1:13" x14ac:dyDescent="0.3">
      <c r="A283" s="295" t="s">
        <v>830</v>
      </c>
      <c r="B283" s="18" t="s">
        <v>831</v>
      </c>
      <c r="C283" s="19">
        <v>0.09</v>
      </c>
      <c r="D283" s="19">
        <v>0.09</v>
      </c>
      <c r="E283" s="20">
        <v>0.11</v>
      </c>
      <c r="F283" s="350"/>
      <c r="G283" s="350"/>
      <c r="H283" s="350"/>
      <c r="I283" s="21" t="s">
        <v>336</v>
      </c>
      <c r="J283" s="19">
        <v>0.14000000000000001</v>
      </c>
      <c r="K283" s="19">
        <v>0.1</v>
      </c>
      <c r="L283" s="19">
        <v>0.24</v>
      </c>
      <c r="M283" s="20">
        <v>0.11</v>
      </c>
    </row>
    <row r="284" spans="1:13" hidden="1" x14ac:dyDescent="0.3">
      <c r="A284" s="296" t="s">
        <v>832</v>
      </c>
      <c r="B284" s="18" t="s">
        <v>833</v>
      </c>
      <c r="C284" s="19">
        <v>0.49</v>
      </c>
      <c r="D284" s="19">
        <v>0.98</v>
      </c>
      <c r="E284" s="20">
        <v>1</v>
      </c>
      <c r="F284" s="350"/>
      <c r="G284" s="350"/>
      <c r="H284" s="350"/>
      <c r="I284" s="21" t="s">
        <v>834</v>
      </c>
      <c r="J284" s="19">
        <v>1</v>
      </c>
      <c r="K284" s="19">
        <v>0.75</v>
      </c>
      <c r="L284" s="19">
        <v>0.51</v>
      </c>
      <c r="M284" s="20">
        <v>1</v>
      </c>
    </row>
    <row r="285" spans="1:13" hidden="1" x14ac:dyDescent="0.3">
      <c r="A285" s="297" t="s">
        <v>835</v>
      </c>
      <c r="B285" s="18" t="s">
        <v>836</v>
      </c>
      <c r="C285" s="19">
        <v>0</v>
      </c>
      <c r="D285" s="19">
        <v>1</v>
      </c>
      <c r="E285" s="20">
        <v>0</v>
      </c>
      <c r="F285" s="350"/>
      <c r="G285" s="350"/>
      <c r="H285" s="350"/>
      <c r="I285" s="21" t="s">
        <v>198</v>
      </c>
      <c r="J285" s="19">
        <v>1</v>
      </c>
      <c r="K285" s="19">
        <v>0.5</v>
      </c>
      <c r="L285" s="19">
        <v>1</v>
      </c>
      <c r="M285" s="20">
        <v>1</v>
      </c>
    </row>
    <row r="286" spans="1:13" hidden="1" x14ac:dyDescent="0.3">
      <c r="A286" s="298" t="s">
        <v>837</v>
      </c>
      <c r="B286" s="18" t="s">
        <v>838</v>
      </c>
      <c r="C286" s="19">
        <v>0.44</v>
      </c>
      <c r="D286" s="19">
        <v>0</v>
      </c>
      <c r="E286" s="20">
        <v>1</v>
      </c>
      <c r="F286" s="350"/>
      <c r="G286" s="350"/>
      <c r="H286" s="350"/>
      <c r="I286" s="21" t="s">
        <v>839</v>
      </c>
      <c r="J286" s="19">
        <v>1</v>
      </c>
      <c r="K286" s="19">
        <v>0.5</v>
      </c>
      <c r="L286" s="19">
        <v>1</v>
      </c>
      <c r="M286" s="20">
        <v>1</v>
      </c>
    </row>
    <row r="287" spans="1:13" hidden="1" x14ac:dyDescent="0.3">
      <c r="A287" s="299" t="s">
        <v>840</v>
      </c>
      <c r="B287" s="18" t="s">
        <v>841</v>
      </c>
      <c r="C287" s="19">
        <v>0.8</v>
      </c>
      <c r="D287" s="19">
        <v>1</v>
      </c>
      <c r="E287" s="20">
        <v>0</v>
      </c>
      <c r="F287" s="350"/>
      <c r="G287" s="350"/>
      <c r="H287" s="350"/>
      <c r="I287" s="21" t="s">
        <v>212</v>
      </c>
      <c r="J287" s="19">
        <v>1</v>
      </c>
      <c r="K287" s="19">
        <v>0.5</v>
      </c>
      <c r="L287" s="19">
        <v>1</v>
      </c>
      <c r="M287" s="20">
        <v>1</v>
      </c>
    </row>
    <row r="288" spans="1:13" hidden="1" x14ac:dyDescent="0.3">
      <c r="A288" s="300" t="s">
        <v>842</v>
      </c>
      <c r="B288" s="18" t="s">
        <v>843</v>
      </c>
      <c r="C288" s="19">
        <v>0.75</v>
      </c>
      <c r="D288" s="19">
        <v>0</v>
      </c>
      <c r="E288" s="20">
        <v>1</v>
      </c>
      <c r="F288" s="350"/>
      <c r="G288" s="350"/>
      <c r="H288" s="350"/>
      <c r="I288" s="21" t="s">
        <v>401</v>
      </c>
      <c r="J288" s="19">
        <v>1</v>
      </c>
      <c r="K288" s="19">
        <v>0.5</v>
      </c>
      <c r="L288" s="19">
        <v>1</v>
      </c>
      <c r="M288" s="20">
        <v>1</v>
      </c>
    </row>
    <row r="289" spans="1:13" hidden="1" x14ac:dyDescent="0.3">
      <c r="A289" s="301" t="s">
        <v>844</v>
      </c>
      <c r="B289" s="18" t="s">
        <v>845</v>
      </c>
      <c r="C289" s="19">
        <v>0.56000000000000005</v>
      </c>
      <c r="D289" s="19">
        <v>0</v>
      </c>
      <c r="E289" s="20">
        <v>1</v>
      </c>
      <c r="F289" s="350"/>
      <c r="G289" s="350"/>
      <c r="H289" s="350"/>
      <c r="I289" s="21" t="s">
        <v>846</v>
      </c>
      <c r="J289" s="19">
        <v>1</v>
      </c>
      <c r="K289" s="19">
        <v>0.5</v>
      </c>
      <c r="L289" s="19">
        <v>1</v>
      </c>
      <c r="M289" s="20">
        <v>1</v>
      </c>
    </row>
    <row r="290" spans="1:13" hidden="1" x14ac:dyDescent="0.3">
      <c r="A290" s="302" t="s">
        <v>847</v>
      </c>
      <c r="B290" s="18" t="s">
        <v>848</v>
      </c>
      <c r="C290" s="19">
        <v>0.31</v>
      </c>
      <c r="D290" s="19">
        <v>0.78</v>
      </c>
      <c r="E290" s="20">
        <v>0.47</v>
      </c>
      <c r="F290" s="350"/>
      <c r="G290" s="350"/>
      <c r="H290" s="350"/>
      <c r="I290" s="21" t="s">
        <v>481</v>
      </c>
      <c r="J290" s="19">
        <v>0.52</v>
      </c>
      <c r="K290" s="19">
        <v>0.55000000000000004</v>
      </c>
      <c r="L290" s="19">
        <v>0.6</v>
      </c>
      <c r="M290" s="20">
        <v>0.78</v>
      </c>
    </row>
    <row r="291" spans="1:13" x14ac:dyDescent="0.3">
      <c r="A291" s="303" t="s">
        <v>849</v>
      </c>
      <c r="B291" s="18" t="s">
        <v>850</v>
      </c>
      <c r="C291" s="19">
        <v>0.42</v>
      </c>
      <c r="D291" s="19">
        <v>0.19</v>
      </c>
      <c r="E291" s="20">
        <v>0.51</v>
      </c>
      <c r="F291" s="350"/>
      <c r="G291" s="350"/>
      <c r="H291" s="350"/>
      <c r="I291" s="21" t="s">
        <v>851</v>
      </c>
      <c r="J291" s="19">
        <v>0.46</v>
      </c>
      <c r="K291" s="19">
        <v>0.35</v>
      </c>
      <c r="L291" s="19">
        <v>0.63</v>
      </c>
      <c r="M291" s="20">
        <v>0.51</v>
      </c>
    </row>
    <row r="292" spans="1:13" x14ac:dyDescent="0.3">
      <c r="A292" s="133" t="s">
        <v>852</v>
      </c>
      <c r="B292" s="18" t="s">
        <v>426</v>
      </c>
      <c r="C292" s="19">
        <v>0.11</v>
      </c>
      <c r="D292" s="19">
        <v>0.3</v>
      </c>
      <c r="E292" s="20">
        <v>0.24</v>
      </c>
      <c r="F292" s="350"/>
      <c r="G292" s="350"/>
      <c r="H292" s="350"/>
      <c r="I292" s="21" t="s">
        <v>427</v>
      </c>
      <c r="J292" s="19">
        <v>0.48</v>
      </c>
      <c r="K292" s="19">
        <v>0.2</v>
      </c>
      <c r="L292" s="19">
        <v>0.65</v>
      </c>
      <c r="M292" s="20">
        <v>0.3</v>
      </c>
    </row>
    <row r="293" spans="1:13" x14ac:dyDescent="0.3">
      <c r="A293" s="304" t="s">
        <v>853</v>
      </c>
      <c r="B293" s="18" t="s">
        <v>854</v>
      </c>
      <c r="C293" s="19">
        <v>0.71</v>
      </c>
      <c r="D293" s="19">
        <v>0.51</v>
      </c>
      <c r="E293" s="20">
        <v>0.57999999999999996</v>
      </c>
      <c r="F293" s="350"/>
      <c r="G293" s="350"/>
      <c r="H293" s="350"/>
      <c r="I293" s="21" t="s">
        <v>160</v>
      </c>
      <c r="J293" s="19">
        <v>0.25</v>
      </c>
      <c r="K293" s="19">
        <v>0.61</v>
      </c>
      <c r="L293" s="19">
        <v>0.27</v>
      </c>
      <c r="M293" s="20">
        <v>0.71</v>
      </c>
    </row>
    <row r="294" spans="1:13" x14ac:dyDescent="0.3">
      <c r="A294" s="305" t="s">
        <v>855</v>
      </c>
      <c r="B294" s="18" t="s">
        <v>856</v>
      </c>
      <c r="C294" s="19">
        <v>0.67</v>
      </c>
      <c r="D294" s="19">
        <v>0.28999999999999998</v>
      </c>
      <c r="E294" s="20">
        <v>0.32</v>
      </c>
      <c r="F294" s="350"/>
      <c r="G294" s="350"/>
      <c r="H294" s="350"/>
      <c r="I294" s="21" t="s">
        <v>166</v>
      </c>
      <c r="J294" s="19">
        <v>0.39</v>
      </c>
      <c r="K294" s="19">
        <v>0.48</v>
      </c>
      <c r="L294" s="19">
        <v>0.56000000000000005</v>
      </c>
      <c r="M294" s="20">
        <v>0.67</v>
      </c>
    </row>
    <row r="295" spans="1:13" hidden="1" x14ac:dyDescent="0.3">
      <c r="A295" s="306" t="s">
        <v>857</v>
      </c>
      <c r="B295" s="18" t="s">
        <v>858</v>
      </c>
      <c r="C295" s="19">
        <v>0.8</v>
      </c>
      <c r="D295" s="19">
        <v>0.28000000000000003</v>
      </c>
      <c r="E295" s="20">
        <v>0.28999999999999998</v>
      </c>
      <c r="F295" s="350"/>
      <c r="G295" s="350"/>
      <c r="H295" s="350"/>
      <c r="I295" s="21" t="s">
        <v>859</v>
      </c>
      <c r="J295" s="19">
        <v>0.56999999999999995</v>
      </c>
      <c r="K295" s="19">
        <v>0.54</v>
      </c>
      <c r="L295" s="19">
        <v>0.65</v>
      </c>
      <c r="M295" s="20">
        <v>0.8</v>
      </c>
    </row>
    <row r="296" spans="1:13" x14ac:dyDescent="0.3">
      <c r="A296" s="307" t="s">
        <v>860</v>
      </c>
      <c r="B296" s="18" t="s">
        <v>861</v>
      </c>
      <c r="C296" s="19">
        <v>0.34</v>
      </c>
      <c r="D296" s="19">
        <v>0.24</v>
      </c>
      <c r="E296" s="20">
        <v>0.36</v>
      </c>
      <c r="F296" s="350"/>
      <c r="G296" s="350"/>
      <c r="H296" s="350"/>
      <c r="I296" s="21" t="s">
        <v>862</v>
      </c>
      <c r="J296" s="19">
        <v>0.21</v>
      </c>
      <c r="K296" s="19">
        <v>0.3</v>
      </c>
      <c r="L296" s="19">
        <v>0.35</v>
      </c>
      <c r="M296" s="20">
        <v>0.36</v>
      </c>
    </row>
    <row r="297" spans="1:13" hidden="1" x14ac:dyDescent="0.3">
      <c r="A297" s="308" t="s">
        <v>863</v>
      </c>
      <c r="B297" s="18" t="s">
        <v>864</v>
      </c>
      <c r="C297" s="19">
        <v>0</v>
      </c>
      <c r="D297" s="19">
        <v>1</v>
      </c>
      <c r="E297" s="20">
        <v>0.25</v>
      </c>
      <c r="F297" s="350"/>
      <c r="G297" s="350"/>
      <c r="H297" s="350"/>
      <c r="I297" s="21" t="s">
        <v>224</v>
      </c>
      <c r="J297" s="19">
        <v>1</v>
      </c>
      <c r="K297" s="19">
        <v>0.5</v>
      </c>
      <c r="L297" s="19">
        <v>1</v>
      </c>
      <c r="M297" s="20">
        <v>1</v>
      </c>
    </row>
    <row r="298" spans="1:13" hidden="1" x14ac:dyDescent="0.3">
      <c r="A298" s="309" t="s">
        <v>865</v>
      </c>
      <c r="B298" s="18" t="s">
        <v>866</v>
      </c>
      <c r="C298" s="19">
        <v>0.59</v>
      </c>
      <c r="D298" s="19">
        <v>0.78</v>
      </c>
      <c r="E298" s="20">
        <v>0.64</v>
      </c>
      <c r="F298" s="350"/>
      <c r="G298" s="350"/>
      <c r="H298" s="350"/>
      <c r="I298" s="21" t="s">
        <v>867</v>
      </c>
      <c r="J298" s="19">
        <v>0.31</v>
      </c>
      <c r="K298" s="19">
        <v>0.69</v>
      </c>
      <c r="L298" s="19">
        <v>0.25</v>
      </c>
      <c r="M298" s="20">
        <v>0.78</v>
      </c>
    </row>
    <row r="299" spans="1:13" hidden="1" x14ac:dyDescent="0.3">
      <c r="A299" s="155" t="s">
        <v>868</v>
      </c>
      <c r="B299" s="18" t="s">
        <v>483</v>
      </c>
      <c r="C299" s="19">
        <v>0.76</v>
      </c>
      <c r="D299" s="19">
        <v>0.6</v>
      </c>
      <c r="E299" s="20">
        <v>0.42</v>
      </c>
      <c r="F299" s="350"/>
      <c r="G299" s="350"/>
      <c r="H299" s="350"/>
      <c r="I299" s="21" t="s">
        <v>284</v>
      </c>
      <c r="J299" s="19">
        <v>0.41</v>
      </c>
      <c r="K299" s="19">
        <v>0.59</v>
      </c>
      <c r="L299" s="19">
        <v>0.45</v>
      </c>
      <c r="M299" s="20">
        <v>0.76</v>
      </c>
    </row>
    <row r="300" spans="1:13" x14ac:dyDescent="0.3">
      <c r="A300" s="310" t="s">
        <v>869</v>
      </c>
      <c r="B300" s="18" t="s">
        <v>870</v>
      </c>
      <c r="C300" s="19">
        <v>0.5</v>
      </c>
      <c r="D300" s="19">
        <v>0.09</v>
      </c>
      <c r="E300" s="20">
        <v>0.09</v>
      </c>
      <c r="F300" s="350"/>
      <c r="G300" s="350"/>
      <c r="H300" s="350"/>
      <c r="I300" s="21" t="s">
        <v>233</v>
      </c>
      <c r="J300" s="19">
        <v>0.68</v>
      </c>
      <c r="K300" s="19">
        <v>0.3</v>
      </c>
      <c r="L300" s="19">
        <v>0.81</v>
      </c>
      <c r="M300" s="20">
        <v>0.5</v>
      </c>
    </row>
    <row r="301" spans="1:13" x14ac:dyDescent="0.3">
      <c r="A301" s="311" t="s">
        <v>871</v>
      </c>
      <c r="B301" s="18" t="s">
        <v>872</v>
      </c>
      <c r="C301" s="19">
        <v>0.71</v>
      </c>
      <c r="D301" s="19">
        <v>0.2</v>
      </c>
      <c r="E301" s="20">
        <v>0.54</v>
      </c>
      <c r="F301" s="350"/>
      <c r="G301" s="350"/>
      <c r="H301" s="350"/>
      <c r="I301" s="21" t="s">
        <v>873</v>
      </c>
      <c r="J301" s="19">
        <v>0.56000000000000005</v>
      </c>
      <c r="K301" s="19">
        <v>0.45</v>
      </c>
      <c r="L301" s="19">
        <v>0.72</v>
      </c>
      <c r="M301" s="20">
        <v>0.71</v>
      </c>
    </row>
    <row r="302" spans="1:13" hidden="1" x14ac:dyDescent="0.3">
      <c r="A302" s="312" t="s">
        <v>874</v>
      </c>
      <c r="B302" s="18" t="s">
        <v>875</v>
      </c>
      <c r="C302" s="19">
        <v>0.87</v>
      </c>
      <c r="D302" s="19">
        <v>0.32</v>
      </c>
      <c r="E302" s="20">
        <v>0.52</v>
      </c>
      <c r="F302" s="350"/>
      <c r="G302" s="350"/>
      <c r="H302" s="350"/>
      <c r="I302" s="21" t="s">
        <v>160</v>
      </c>
      <c r="J302" s="19">
        <v>0.68</v>
      </c>
      <c r="K302" s="19">
        <v>0.6</v>
      </c>
      <c r="L302" s="19">
        <v>0.63</v>
      </c>
      <c r="M302" s="20">
        <v>0.87</v>
      </c>
    </row>
    <row r="303" spans="1:13" hidden="1" x14ac:dyDescent="0.3">
      <c r="A303" s="313" t="s">
        <v>876</v>
      </c>
      <c r="B303" s="18" t="s">
        <v>877</v>
      </c>
      <c r="C303" s="19">
        <v>0.96</v>
      </c>
      <c r="D303" s="19">
        <v>0</v>
      </c>
      <c r="E303" s="20">
        <v>0.63</v>
      </c>
      <c r="F303" s="350"/>
      <c r="G303" s="350"/>
      <c r="H303" s="350"/>
      <c r="I303" s="21" t="s">
        <v>873</v>
      </c>
      <c r="J303" s="19">
        <v>1</v>
      </c>
      <c r="K303" s="19">
        <v>0.48</v>
      </c>
      <c r="L303" s="19">
        <v>1</v>
      </c>
      <c r="M303" s="20">
        <v>0.96</v>
      </c>
    </row>
    <row r="304" spans="1:13" hidden="1" x14ac:dyDescent="0.3">
      <c r="A304" s="314" t="s">
        <v>878</v>
      </c>
      <c r="B304" s="18" t="s">
        <v>879</v>
      </c>
      <c r="C304" s="19">
        <v>0.9</v>
      </c>
      <c r="D304" s="19">
        <v>0.67</v>
      </c>
      <c r="E304" s="20">
        <v>0.44</v>
      </c>
      <c r="F304" s="350"/>
      <c r="G304" s="350"/>
      <c r="H304" s="350"/>
      <c r="I304" s="21" t="s">
        <v>151</v>
      </c>
      <c r="J304" s="19">
        <v>0.69</v>
      </c>
      <c r="K304" s="19">
        <v>0.67</v>
      </c>
      <c r="L304" s="19">
        <v>0.51</v>
      </c>
      <c r="M304" s="20">
        <v>0.9</v>
      </c>
    </row>
    <row r="305" spans="1:13" x14ac:dyDescent="0.3">
      <c r="A305" s="315" t="s">
        <v>880</v>
      </c>
      <c r="B305" s="18" t="s">
        <v>881</v>
      </c>
      <c r="C305" s="19">
        <v>0.3</v>
      </c>
      <c r="D305" s="19">
        <v>0.36</v>
      </c>
      <c r="E305" s="20">
        <v>0.33</v>
      </c>
      <c r="F305" s="350"/>
      <c r="G305" s="350"/>
      <c r="H305" s="350"/>
      <c r="I305" s="21" t="s">
        <v>882</v>
      </c>
      <c r="J305" s="19">
        <v>0.09</v>
      </c>
      <c r="K305" s="19">
        <v>0.33</v>
      </c>
      <c r="L305" s="19">
        <v>0.17</v>
      </c>
      <c r="M305" s="20">
        <v>0.36</v>
      </c>
    </row>
    <row r="306" spans="1:13" x14ac:dyDescent="0.3">
      <c r="A306" s="316" t="s">
        <v>883</v>
      </c>
      <c r="B306" s="18" t="s">
        <v>884</v>
      </c>
      <c r="C306" s="19">
        <v>0.31</v>
      </c>
      <c r="D306" s="19">
        <v>0.47</v>
      </c>
      <c r="E306" s="20">
        <v>0.26</v>
      </c>
      <c r="F306" s="350"/>
      <c r="G306" s="350"/>
      <c r="H306" s="350"/>
      <c r="I306" s="21" t="s">
        <v>885</v>
      </c>
      <c r="J306" s="19">
        <v>0.28999999999999998</v>
      </c>
      <c r="K306" s="19">
        <v>0.37</v>
      </c>
      <c r="L306" s="19">
        <v>0.45</v>
      </c>
      <c r="M306" s="20">
        <v>0.47</v>
      </c>
    </row>
    <row r="307" spans="1:13" x14ac:dyDescent="0.3">
      <c r="A307" s="317" t="s">
        <v>886</v>
      </c>
      <c r="B307" s="18" t="s">
        <v>887</v>
      </c>
      <c r="C307" s="19">
        <v>0.42</v>
      </c>
      <c r="D307" s="19">
        <v>0.33</v>
      </c>
      <c r="E307" s="20">
        <v>0.12</v>
      </c>
      <c r="F307" s="350"/>
      <c r="G307" s="350"/>
      <c r="H307" s="350"/>
      <c r="I307" s="21" t="s">
        <v>309</v>
      </c>
      <c r="J307" s="19">
        <v>0.56999999999999995</v>
      </c>
      <c r="K307" s="19">
        <v>0.27</v>
      </c>
      <c r="L307" s="19">
        <v>0.72</v>
      </c>
      <c r="M307" s="20">
        <v>0.42</v>
      </c>
    </row>
    <row r="308" spans="1:13" hidden="1" x14ac:dyDescent="0.3">
      <c r="A308" s="318" t="s">
        <v>888</v>
      </c>
      <c r="B308" s="18" t="s">
        <v>889</v>
      </c>
      <c r="C308" s="19">
        <v>1</v>
      </c>
      <c r="D308" s="19">
        <v>0.33</v>
      </c>
      <c r="E308" s="20">
        <v>0.44</v>
      </c>
      <c r="F308" s="350"/>
      <c r="G308" s="350"/>
      <c r="H308" s="350"/>
      <c r="I308" s="21" t="s">
        <v>192</v>
      </c>
      <c r="J308" s="19">
        <v>1</v>
      </c>
      <c r="K308" s="19">
        <v>0.67</v>
      </c>
      <c r="L308" s="19">
        <v>0.67</v>
      </c>
      <c r="M308" s="20">
        <v>1</v>
      </c>
    </row>
    <row r="309" spans="1:13" x14ac:dyDescent="0.3">
      <c r="A309" s="319" t="s">
        <v>890</v>
      </c>
      <c r="B309" s="18" t="s">
        <v>891</v>
      </c>
      <c r="C309" s="19">
        <v>0.7</v>
      </c>
      <c r="D309" s="19">
        <v>0.13</v>
      </c>
      <c r="E309" s="20">
        <v>0.13</v>
      </c>
      <c r="F309" s="350"/>
      <c r="G309" s="350"/>
      <c r="H309" s="350"/>
      <c r="I309" s="21" t="s">
        <v>233</v>
      </c>
      <c r="J309" s="19">
        <v>0.68</v>
      </c>
      <c r="K309" s="19">
        <v>0.42</v>
      </c>
      <c r="L309" s="19">
        <v>0.81</v>
      </c>
      <c r="M309" s="20">
        <v>0.7</v>
      </c>
    </row>
    <row r="310" spans="1:13" hidden="1" x14ac:dyDescent="0.3">
      <c r="A310" s="320" t="s">
        <v>892</v>
      </c>
      <c r="B310" s="18" t="s">
        <v>893</v>
      </c>
      <c r="C310" s="19">
        <v>0.81</v>
      </c>
      <c r="D310" s="19">
        <v>0.13</v>
      </c>
      <c r="E310" s="20">
        <v>0.16</v>
      </c>
      <c r="F310" s="350"/>
      <c r="G310" s="350"/>
      <c r="H310" s="350"/>
      <c r="I310" s="21" t="s">
        <v>894</v>
      </c>
      <c r="J310" s="19">
        <v>0.73</v>
      </c>
      <c r="K310" s="19">
        <v>0.47</v>
      </c>
      <c r="L310" s="19">
        <v>0.84</v>
      </c>
      <c r="M310" s="20">
        <v>0.81</v>
      </c>
    </row>
    <row r="311" spans="1:13" hidden="1" x14ac:dyDescent="0.3">
      <c r="A311" s="321" t="s">
        <v>895</v>
      </c>
      <c r="B311" s="18" t="s">
        <v>896</v>
      </c>
      <c r="C311" s="19">
        <v>0.91</v>
      </c>
      <c r="D311" s="19">
        <v>0.36</v>
      </c>
      <c r="E311" s="20">
        <v>0.28999999999999998</v>
      </c>
      <c r="F311" s="350"/>
      <c r="G311" s="350"/>
      <c r="H311" s="350"/>
      <c r="I311" s="21" t="s">
        <v>297</v>
      </c>
      <c r="J311" s="19">
        <v>0.78</v>
      </c>
      <c r="K311" s="19">
        <v>0.6</v>
      </c>
      <c r="L311" s="19">
        <v>0.68</v>
      </c>
      <c r="M311" s="20">
        <v>0.91</v>
      </c>
    </row>
    <row r="312" spans="1:13" hidden="1" x14ac:dyDescent="0.3">
      <c r="A312" s="322" t="s">
        <v>897</v>
      </c>
      <c r="B312" s="18" t="s">
        <v>898</v>
      </c>
      <c r="C312" s="19">
        <v>0.89</v>
      </c>
      <c r="D312" s="19">
        <v>0.35</v>
      </c>
      <c r="E312" s="20">
        <v>0.13</v>
      </c>
      <c r="F312" s="350"/>
      <c r="G312" s="350"/>
      <c r="H312" s="350"/>
      <c r="I312" s="21" t="s">
        <v>899</v>
      </c>
      <c r="J312" s="19">
        <v>0.77</v>
      </c>
      <c r="K312" s="19">
        <v>0.51</v>
      </c>
      <c r="L312" s="19">
        <v>0.85</v>
      </c>
      <c r="M312" s="20">
        <v>0.89</v>
      </c>
    </row>
    <row r="313" spans="1:13" hidden="1" x14ac:dyDescent="0.3">
      <c r="A313" s="323" t="s">
        <v>900</v>
      </c>
      <c r="B313" s="18" t="s">
        <v>901</v>
      </c>
      <c r="C313" s="19">
        <v>0.93</v>
      </c>
      <c r="D313" s="19">
        <v>0.86</v>
      </c>
      <c r="E313" s="20">
        <v>0.51</v>
      </c>
      <c r="F313" s="350"/>
      <c r="G313" s="350"/>
      <c r="H313" s="350"/>
      <c r="I313" s="21" t="s">
        <v>142</v>
      </c>
      <c r="J313" s="19">
        <v>0.76</v>
      </c>
      <c r="K313" s="19">
        <v>0.72</v>
      </c>
      <c r="L313" s="19">
        <v>0.45</v>
      </c>
      <c r="M313" s="20">
        <v>0.93</v>
      </c>
    </row>
    <row r="314" spans="1:13" hidden="1" x14ac:dyDescent="0.3">
      <c r="A314" s="324" t="s">
        <v>902</v>
      </c>
      <c r="B314" s="18" t="s">
        <v>903</v>
      </c>
      <c r="C314" s="19">
        <v>0.64</v>
      </c>
      <c r="D314" s="19">
        <v>0</v>
      </c>
      <c r="E314" s="20">
        <v>0.43</v>
      </c>
      <c r="F314" s="350"/>
      <c r="G314" s="350"/>
      <c r="H314" s="350"/>
      <c r="I314" s="21" t="s">
        <v>873</v>
      </c>
      <c r="J314" s="19">
        <v>1</v>
      </c>
      <c r="K314" s="19">
        <v>0.32</v>
      </c>
      <c r="L314" s="19">
        <v>1</v>
      </c>
      <c r="M314" s="20">
        <v>0.64</v>
      </c>
    </row>
    <row r="315" spans="1:13" hidden="1" x14ac:dyDescent="0.3">
      <c r="A315" s="325" t="s">
        <v>904</v>
      </c>
      <c r="B315" s="18" t="s">
        <v>905</v>
      </c>
      <c r="C315" s="19">
        <v>1</v>
      </c>
      <c r="D315" s="19">
        <v>0.98</v>
      </c>
      <c r="E315" s="20">
        <v>0.94</v>
      </c>
      <c r="F315" s="350"/>
      <c r="G315" s="350"/>
      <c r="H315" s="350"/>
      <c r="I315" s="21" t="s">
        <v>906</v>
      </c>
      <c r="J315" s="19">
        <v>1</v>
      </c>
      <c r="K315" s="19">
        <v>0.97</v>
      </c>
      <c r="L315" s="19">
        <v>0.06</v>
      </c>
      <c r="M315" s="20">
        <v>1</v>
      </c>
    </row>
    <row r="316" spans="1:13" hidden="1" x14ac:dyDescent="0.3">
      <c r="A316" s="326" t="s">
        <v>907</v>
      </c>
      <c r="B316" s="18" t="s">
        <v>908</v>
      </c>
      <c r="C316" s="19">
        <v>0.08</v>
      </c>
      <c r="D316" s="19">
        <v>0.96</v>
      </c>
      <c r="E316" s="20">
        <v>0.93</v>
      </c>
      <c r="F316" s="350"/>
      <c r="G316" s="350"/>
      <c r="H316" s="350"/>
      <c r="I316" s="21" t="s">
        <v>781</v>
      </c>
      <c r="J316" s="19">
        <v>0.91</v>
      </c>
      <c r="K316" s="19">
        <v>0.52</v>
      </c>
      <c r="L316" s="19">
        <v>0.91</v>
      </c>
      <c r="M316" s="20">
        <v>0.96</v>
      </c>
    </row>
    <row r="317" spans="1:13" x14ac:dyDescent="0.3">
      <c r="A317" s="327" t="s">
        <v>909</v>
      </c>
      <c r="B317" s="18" t="s">
        <v>910</v>
      </c>
      <c r="C317" s="19">
        <v>0.37</v>
      </c>
      <c r="D317" s="19">
        <v>0.65</v>
      </c>
      <c r="E317" s="20">
        <v>0.47</v>
      </c>
      <c r="F317" s="350"/>
      <c r="G317" s="350"/>
      <c r="H317" s="350"/>
      <c r="I317" s="21" t="s">
        <v>481</v>
      </c>
      <c r="J317" s="19">
        <v>0.28999999999999998</v>
      </c>
      <c r="K317" s="19">
        <v>0.51</v>
      </c>
      <c r="L317" s="19">
        <v>0.43</v>
      </c>
      <c r="M317" s="20">
        <v>0.65</v>
      </c>
    </row>
    <row r="318" spans="1:13" hidden="1" x14ac:dyDescent="0.3">
      <c r="A318" s="328" t="s">
        <v>911</v>
      </c>
      <c r="B318" s="18" t="s">
        <v>912</v>
      </c>
      <c r="C318" s="19">
        <v>0</v>
      </c>
      <c r="D318" s="19">
        <v>0.27</v>
      </c>
      <c r="E318" s="20">
        <v>0.13</v>
      </c>
      <c r="F318" s="350"/>
      <c r="G318" s="350"/>
      <c r="H318" s="350"/>
      <c r="I318" s="21" t="s">
        <v>913</v>
      </c>
      <c r="J318" s="19">
        <v>0.97</v>
      </c>
      <c r="K318" s="19">
        <v>0.14000000000000001</v>
      </c>
      <c r="L318" s="19">
        <v>0.99</v>
      </c>
      <c r="M318" s="20">
        <v>0.27</v>
      </c>
    </row>
    <row r="319" spans="1:13" x14ac:dyDescent="0.3">
      <c r="A319" s="329" t="s">
        <v>914</v>
      </c>
      <c r="B319" s="18" t="s">
        <v>915</v>
      </c>
      <c r="C319" s="19">
        <v>0.13</v>
      </c>
      <c r="D319" s="19">
        <v>0.55000000000000004</v>
      </c>
      <c r="E319" s="20">
        <v>0.13</v>
      </c>
      <c r="F319" s="350"/>
      <c r="G319" s="350"/>
      <c r="H319" s="350"/>
      <c r="I319" s="21" t="s">
        <v>198</v>
      </c>
      <c r="J319" s="19">
        <v>0.61</v>
      </c>
      <c r="K319" s="19">
        <v>0.34</v>
      </c>
      <c r="L319" s="19">
        <v>0.76</v>
      </c>
      <c r="M319" s="20">
        <v>0.55000000000000004</v>
      </c>
    </row>
    <row r="320" spans="1:13" x14ac:dyDescent="0.3">
      <c r="A320" s="152" t="s">
        <v>916</v>
      </c>
      <c r="B320" s="18" t="s">
        <v>475</v>
      </c>
      <c r="C320" s="19">
        <v>0.65</v>
      </c>
      <c r="D320" s="19">
        <v>0.48</v>
      </c>
      <c r="E320" s="20">
        <v>0.36</v>
      </c>
      <c r="F320" s="350"/>
      <c r="G320" s="350"/>
      <c r="H320" s="350"/>
      <c r="I320" s="21" t="s">
        <v>476</v>
      </c>
      <c r="J320" s="19">
        <v>0.3</v>
      </c>
      <c r="K320" s="19">
        <v>0.5</v>
      </c>
      <c r="L320" s="19">
        <v>0.45</v>
      </c>
      <c r="M320" s="20">
        <v>0.65</v>
      </c>
    </row>
    <row r="321" spans="1:13" x14ac:dyDescent="0.3">
      <c r="A321" s="330" t="s">
        <v>917</v>
      </c>
      <c r="B321" s="18" t="s">
        <v>918</v>
      </c>
      <c r="C321" s="19">
        <v>0.52</v>
      </c>
      <c r="D321" s="19">
        <v>0.43</v>
      </c>
      <c r="E321" s="20">
        <v>0.3</v>
      </c>
      <c r="F321" s="350"/>
      <c r="G321" s="350"/>
      <c r="H321" s="350"/>
      <c r="I321" s="21" t="s">
        <v>195</v>
      </c>
      <c r="J321" s="19">
        <v>0.27</v>
      </c>
      <c r="K321" s="19">
        <v>0.41</v>
      </c>
      <c r="L321" s="19">
        <v>0.42</v>
      </c>
      <c r="M321" s="20">
        <v>0.52</v>
      </c>
    </row>
    <row r="322" spans="1:13" hidden="1" x14ac:dyDescent="0.3">
      <c r="A322" s="331" t="s">
        <v>919</v>
      </c>
      <c r="B322" s="18" t="s">
        <v>920</v>
      </c>
      <c r="C322" s="19">
        <v>0</v>
      </c>
      <c r="D322" s="19">
        <v>0.45</v>
      </c>
      <c r="E322" s="20">
        <v>0.73</v>
      </c>
      <c r="F322" s="350"/>
      <c r="G322" s="350"/>
      <c r="H322" s="350"/>
      <c r="I322" s="21" t="s">
        <v>921</v>
      </c>
      <c r="J322" s="19">
        <v>1</v>
      </c>
      <c r="K322" s="19">
        <v>0.37</v>
      </c>
      <c r="L322" s="19">
        <v>1</v>
      </c>
      <c r="M322" s="20">
        <v>0.73</v>
      </c>
    </row>
    <row r="323" spans="1:13" hidden="1" x14ac:dyDescent="0.3">
      <c r="A323" s="332" t="s">
        <v>922</v>
      </c>
      <c r="B323" s="18" t="s">
        <v>923</v>
      </c>
      <c r="C323" s="19">
        <v>0.99</v>
      </c>
      <c r="D323" s="19">
        <v>0.25</v>
      </c>
      <c r="E323" s="20">
        <v>0.56999999999999995</v>
      </c>
      <c r="F323" s="350"/>
      <c r="G323" s="350"/>
      <c r="H323" s="350"/>
      <c r="I323" s="21" t="s">
        <v>666</v>
      </c>
      <c r="J323" s="19">
        <v>0.98</v>
      </c>
      <c r="K323" s="19">
        <v>0.62</v>
      </c>
      <c r="L323" s="19">
        <v>0.75</v>
      </c>
      <c r="M323" s="20">
        <v>0.99</v>
      </c>
    </row>
    <row r="324" spans="1:13" x14ac:dyDescent="0.3">
      <c r="A324" s="333" t="s">
        <v>924</v>
      </c>
      <c r="B324" s="18" t="s">
        <v>925</v>
      </c>
      <c r="C324" s="19">
        <v>0.53</v>
      </c>
      <c r="D324" s="19">
        <v>0.38</v>
      </c>
      <c r="E324" s="20">
        <v>0.56000000000000005</v>
      </c>
      <c r="F324" s="350"/>
      <c r="G324" s="350"/>
      <c r="H324" s="350"/>
      <c r="I324" s="21" t="s">
        <v>926</v>
      </c>
      <c r="J324" s="19">
        <v>0.19</v>
      </c>
      <c r="K324" s="19">
        <v>0.47</v>
      </c>
      <c r="L324" s="19">
        <v>0.32</v>
      </c>
      <c r="M324" s="20">
        <v>0.56000000000000005</v>
      </c>
    </row>
    <row r="325" spans="1:13" hidden="1" x14ac:dyDescent="0.3">
      <c r="A325" s="334" t="s">
        <v>927</v>
      </c>
      <c r="B325" s="18" t="s">
        <v>928</v>
      </c>
      <c r="C325" s="19">
        <v>0.62</v>
      </c>
      <c r="D325" s="19">
        <v>0.99</v>
      </c>
      <c r="E325" s="20">
        <v>0.22</v>
      </c>
      <c r="F325" s="350"/>
      <c r="G325" s="350"/>
      <c r="H325" s="350"/>
      <c r="I325" s="21" t="s">
        <v>929</v>
      </c>
      <c r="J325" s="19">
        <v>0.98</v>
      </c>
      <c r="K325" s="19">
        <v>0.61</v>
      </c>
      <c r="L325" s="19">
        <v>0.78</v>
      </c>
      <c r="M325" s="20">
        <v>0.99</v>
      </c>
    </row>
    <row r="326" spans="1:13" hidden="1" x14ac:dyDescent="0.3">
      <c r="A326" s="335" t="s">
        <v>930</v>
      </c>
      <c r="B326" s="18" t="s">
        <v>931</v>
      </c>
      <c r="C326" s="19">
        <v>0.83</v>
      </c>
      <c r="D326" s="19">
        <v>0.45</v>
      </c>
      <c r="E326" s="20">
        <v>0.83</v>
      </c>
      <c r="F326" s="350"/>
      <c r="G326" s="350"/>
      <c r="H326" s="350"/>
      <c r="I326" s="21" t="s">
        <v>724</v>
      </c>
      <c r="J326" s="19">
        <v>0.53</v>
      </c>
      <c r="K326" s="19">
        <v>0.64</v>
      </c>
      <c r="L326" s="19">
        <v>0.46</v>
      </c>
      <c r="M326" s="20">
        <v>0.83</v>
      </c>
    </row>
    <row r="327" spans="1:13" hidden="1" x14ac:dyDescent="0.3">
      <c r="A327" s="336" t="s">
        <v>932</v>
      </c>
      <c r="B327" s="18" t="s">
        <v>933</v>
      </c>
      <c r="C327" s="19">
        <v>0.99</v>
      </c>
      <c r="D327" s="19">
        <v>0.42</v>
      </c>
      <c r="E327" s="20">
        <v>0.62</v>
      </c>
      <c r="F327" s="350"/>
      <c r="G327" s="350"/>
      <c r="H327" s="350"/>
      <c r="I327" s="21" t="s">
        <v>934</v>
      </c>
      <c r="J327" s="19">
        <v>0.97</v>
      </c>
      <c r="K327" s="19">
        <v>0.71</v>
      </c>
      <c r="L327" s="19">
        <v>0.56999999999999995</v>
      </c>
      <c r="M327" s="20">
        <v>0.99</v>
      </c>
    </row>
    <row r="328" spans="1:13" hidden="1" x14ac:dyDescent="0.3">
      <c r="A328" s="337" t="s">
        <v>935</v>
      </c>
      <c r="B328" s="18" t="s">
        <v>936</v>
      </c>
      <c r="C328" s="19">
        <v>0.78</v>
      </c>
      <c r="D328" s="19">
        <v>0.17</v>
      </c>
      <c r="E328" s="20">
        <v>0.28000000000000003</v>
      </c>
      <c r="F328" s="350"/>
      <c r="G328" s="350"/>
      <c r="H328" s="350"/>
      <c r="I328" s="21" t="s">
        <v>319</v>
      </c>
      <c r="J328" s="19">
        <v>0.64</v>
      </c>
      <c r="K328" s="19">
        <v>0.48</v>
      </c>
      <c r="L328" s="19">
        <v>0.78</v>
      </c>
      <c r="M328" s="20">
        <v>0.78</v>
      </c>
    </row>
    <row r="329" spans="1:13" hidden="1" x14ac:dyDescent="0.3">
      <c r="A329" s="338" t="s">
        <v>937</v>
      </c>
      <c r="B329" s="18" t="s">
        <v>938</v>
      </c>
      <c r="C329" s="19">
        <v>0.96</v>
      </c>
      <c r="D329" s="19">
        <v>0.28999999999999998</v>
      </c>
      <c r="E329" s="20">
        <v>0.54</v>
      </c>
      <c r="F329" s="350"/>
      <c r="G329" s="350"/>
      <c r="H329" s="350"/>
      <c r="I329" s="21" t="s">
        <v>160</v>
      </c>
      <c r="J329" s="19">
        <v>0.91</v>
      </c>
      <c r="K329" s="19">
        <v>0.63</v>
      </c>
      <c r="L329" s="19">
        <v>0.7</v>
      </c>
      <c r="M329" s="20">
        <v>0.96</v>
      </c>
    </row>
    <row r="330" spans="1:13" hidden="1" x14ac:dyDescent="0.3">
      <c r="A330" s="339" t="s">
        <v>939</v>
      </c>
      <c r="B330" s="18" t="s">
        <v>940</v>
      </c>
      <c r="C330" s="19">
        <v>0.47</v>
      </c>
      <c r="D330" s="19">
        <v>0.71</v>
      </c>
      <c r="E330" s="20">
        <v>1</v>
      </c>
      <c r="F330" s="350"/>
      <c r="G330" s="350"/>
      <c r="H330" s="350"/>
      <c r="I330" s="21" t="s">
        <v>941</v>
      </c>
      <c r="J330" s="19">
        <v>0.99</v>
      </c>
      <c r="K330" s="19">
        <v>0.73</v>
      </c>
      <c r="L330" s="19">
        <v>0.53</v>
      </c>
      <c r="M330" s="20">
        <v>1</v>
      </c>
    </row>
    <row r="331" spans="1:13" hidden="1" x14ac:dyDescent="0.3">
      <c r="A331" s="340" t="s">
        <v>942</v>
      </c>
      <c r="B331" s="18" t="s">
        <v>943</v>
      </c>
      <c r="C331" s="19">
        <v>0.53</v>
      </c>
      <c r="D331" s="19">
        <v>0.02</v>
      </c>
      <c r="E331" s="20">
        <v>0.81</v>
      </c>
      <c r="F331" s="350"/>
      <c r="G331" s="350"/>
      <c r="H331" s="350"/>
      <c r="I331" s="21" t="s">
        <v>944</v>
      </c>
      <c r="J331" s="19">
        <v>0.94</v>
      </c>
      <c r="K331" s="19">
        <v>0.42</v>
      </c>
      <c r="L331" s="19">
        <v>0.97</v>
      </c>
      <c r="M331" s="20">
        <v>0.81</v>
      </c>
    </row>
    <row r="332" spans="1:13" hidden="1" x14ac:dyDescent="0.3">
      <c r="A332" s="341" t="s">
        <v>945</v>
      </c>
      <c r="B332" s="18" t="s">
        <v>946</v>
      </c>
      <c r="C332" s="19">
        <v>0.91</v>
      </c>
      <c r="D332" s="19">
        <v>0.21</v>
      </c>
      <c r="E332" s="20">
        <v>0.65</v>
      </c>
      <c r="F332" s="350"/>
      <c r="G332" s="350"/>
      <c r="H332" s="350"/>
      <c r="I332" s="21" t="s">
        <v>947</v>
      </c>
      <c r="J332" s="19">
        <v>0.8</v>
      </c>
      <c r="K332" s="19">
        <v>0.56000000000000005</v>
      </c>
      <c r="L332" s="19">
        <v>0.77</v>
      </c>
      <c r="M332" s="20">
        <v>0.91</v>
      </c>
    </row>
    <row r="333" spans="1:13" hidden="1" x14ac:dyDescent="0.3">
      <c r="A333" s="342" t="s">
        <v>948</v>
      </c>
      <c r="B333" s="18" t="s">
        <v>949</v>
      </c>
      <c r="C333" s="19">
        <v>1</v>
      </c>
      <c r="D333" s="19">
        <v>0</v>
      </c>
      <c r="E333" s="20">
        <v>1</v>
      </c>
      <c r="F333" s="350"/>
      <c r="G333" s="350"/>
      <c r="H333" s="350"/>
      <c r="I333" s="21" t="s">
        <v>724</v>
      </c>
      <c r="J333" s="19">
        <v>1</v>
      </c>
      <c r="K333" s="19">
        <v>0.5</v>
      </c>
      <c r="L333" s="19">
        <v>1</v>
      </c>
      <c r="M333" s="20">
        <v>1</v>
      </c>
    </row>
    <row r="334" spans="1:13" hidden="1" x14ac:dyDescent="0.3">
      <c r="A334" s="343" t="s">
        <v>950</v>
      </c>
      <c r="B334" s="18" t="s">
        <v>951</v>
      </c>
      <c r="C334" s="19">
        <v>0.76</v>
      </c>
      <c r="D334" s="19">
        <v>0.33</v>
      </c>
      <c r="E334" s="20">
        <v>0.76</v>
      </c>
      <c r="F334" s="350"/>
      <c r="G334" s="350"/>
      <c r="H334" s="350"/>
      <c r="I334" s="21" t="s">
        <v>724</v>
      </c>
      <c r="J334" s="19">
        <v>0.47</v>
      </c>
      <c r="K334" s="19">
        <v>0.54</v>
      </c>
      <c r="L334" s="19">
        <v>0.56000000000000005</v>
      </c>
      <c r="M334" s="20">
        <v>0.76</v>
      </c>
    </row>
    <row r="335" spans="1:13" hidden="1" x14ac:dyDescent="0.3">
      <c r="A335" s="344" t="s">
        <v>952</v>
      </c>
      <c r="B335" s="18" t="s">
        <v>953</v>
      </c>
      <c r="C335" s="19">
        <v>0.8</v>
      </c>
      <c r="D335" s="19">
        <v>0.22</v>
      </c>
      <c r="E335" s="20">
        <v>0.48</v>
      </c>
      <c r="F335" s="350"/>
      <c r="G335" s="350"/>
      <c r="H335" s="350"/>
      <c r="I335" s="21" t="s">
        <v>580</v>
      </c>
      <c r="J335" s="19">
        <v>0.59</v>
      </c>
      <c r="K335" s="19">
        <v>0.51</v>
      </c>
      <c r="L335" s="19">
        <v>0.72</v>
      </c>
      <c r="M335" s="20">
        <v>0.8</v>
      </c>
    </row>
    <row r="336" spans="1:13" hidden="1" x14ac:dyDescent="0.3">
      <c r="A336" s="345" t="s">
        <v>954</v>
      </c>
      <c r="B336" s="18" t="s">
        <v>955</v>
      </c>
      <c r="C336" s="19">
        <v>0.78</v>
      </c>
      <c r="D336" s="19">
        <v>0.26</v>
      </c>
      <c r="E336" s="20">
        <v>0.46</v>
      </c>
      <c r="F336" s="350"/>
      <c r="G336" s="350"/>
      <c r="H336" s="350"/>
      <c r="I336" s="21" t="s">
        <v>956</v>
      </c>
      <c r="J336" s="19">
        <v>0.54</v>
      </c>
      <c r="K336" s="19">
        <v>0.52</v>
      </c>
      <c r="L336" s="19">
        <v>0.66</v>
      </c>
      <c r="M336" s="20">
        <v>0.78</v>
      </c>
    </row>
    <row r="337" spans="1:13" hidden="1" x14ac:dyDescent="0.3">
      <c r="A337" s="346" t="s">
        <v>957</v>
      </c>
      <c r="B337" s="18" t="s">
        <v>958</v>
      </c>
      <c r="C337" s="19">
        <v>0.89</v>
      </c>
      <c r="D337" s="19">
        <v>0.52</v>
      </c>
      <c r="E337" s="20">
        <v>0</v>
      </c>
      <c r="F337" s="350"/>
      <c r="G337" s="350"/>
      <c r="H337" s="350"/>
      <c r="I337" s="21" t="s">
        <v>422</v>
      </c>
      <c r="J337" s="19">
        <v>1</v>
      </c>
      <c r="K337" s="19">
        <v>0.45</v>
      </c>
      <c r="L337" s="19">
        <v>1</v>
      </c>
      <c r="M337" s="20">
        <v>0.89</v>
      </c>
    </row>
    <row r="338" spans="1:13" hidden="1" x14ac:dyDescent="0.3">
      <c r="A338" s="347" t="s">
        <v>959</v>
      </c>
      <c r="B338" s="18" t="s">
        <v>960</v>
      </c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</row>
  </sheetData>
  <autoFilter ref="A1:M338" xr:uid="{EE531B1E-0E3B-408D-A9BA-E41785FD24C4}">
    <filterColumn colId="2">
      <customFilters and="1">
        <customFilter operator="greaterThanOrEqual" val="0.05"/>
        <customFilter operator="lessThanOrEqual" val="0.75"/>
      </customFilters>
    </filterColumn>
    <filterColumn colId="3">
      <customFilters and="1">
        <customFilter operator="greaterThanOrEqual" val="0.05"/>
        <customFilter operator="lessThanOrEqual" val="0.75"/>
      </customFilters>
    </filterColumn>
    <filterColumn colId="4">
      <customFilters and="1">
        <customFilter operator="greaterThanOrEqual" val="0.05"/>
        <customFilter operator="lessThanOrEqual" val="0.75"/>
      </customFilters>
    </filterColumn>
  </autoFilter>
  <hyperlinks>
    <hyperlink ref="B1" r:id="rId1" location="Hex_triplet" tooltip="Web colors" display="https://en.wikipedia.org/wiki/Web_colors - Hex_triplet" xr:uid="{05DD5177-B5C8-4ECB-A718-5AF10D327D00}"/>
    <hyperlink ref="C1" r:id="rId2" tooltip="RGB" display="https://en.wikipedia.org/wiki/RGB" xr:uid="{BD815494-82FE-4558-9416-5F7F8A27E5C0}"/>
    <hyperlink ref="D1" r:id="rId3" tooltip="RGB" display="https://en.wikipedia.org/wiki/RGB" xr:uid="{2C42165A-7E30-40EB-A90C-C2F0ABDB0CAE}"/>
    <hyperlink ref="E1" r:id="rId4" tooltip="RGB" display="https://en.wikipedia.org/wiki/RGB" xr:uid="{25FE8F70-8DBA-4225-A07E-E5E0693E1977}"/>
    <hyperlink ref="I1" r:id="rId5" location="Hue" tooltip="HSL and HSV" display="https://en.wikipedia.org/wiki/HSL_and_HSV - Hue" xr:uid="{04047BE1-AB41-4F98-A8CC-83808E61A950}"/>
    <hyperlink ref="J1" r:id="rId6" location="Saturation" display="https://en.wikipedia.org/wiki/HSL_and_HSV - Saturation" xr:uid="{2E416692-9147-42B9-8F56-40625ED34955}"/>
    <hyperlink ref="K1" r:id="rId7" location="Lightness" tooltip="HSL and HSV" display="https://en.wikipedia.org/wiki/HSL_and_HSV - Lightness" xr:uid="{FFD2ED75-86C6-49C4-8AC2-3AAA9D527311}"/>
    <hyperlink ref="L1" r:id="rId8" location="Saturation" tooltip="HSL and HSV" display="https://en.wikipedia.org/wiki/HSL_and_HSV - Saturation" xr:uid="{444CCE79-7E5D-4DD2-A380-F97052155003}"/>
    <hyperlink ref="M1" r:id="rId9" location="Lightness" tooltip="HSL and HSV" display="https://en.wikipedia.org/wiki/HSL_and_HSV - Lightness" xr:uid="{8417402B-352D-4A81-B067-134789034F1E}"/>
    <hyperlink ref="A2" r:id="rId10" location="Extreme_Twistables_colors" tooltip="List of Crayola crayon colors" display="https://en.wikipedia.org/wiki/List_of_Crayola_crayon_colors - Extreme_Twistables_colors" xr:uid="{986013E8-3B3C-48CE-B9D0-D3685CD299E9}"/>
    <hyperlink ref="A3" r:id="rId11" tooltip="Acid green" display="https://en.wikipedia.org/wiki/Acid_green" xr:uid="{6F3859AA-9B46-4896-B7C8-E445CA0B5661}"/>
    <hyperlink ref="A4" r:id="rId12" location="Aero" tooltip="Air Force blue" display="https://en.wikipedia.org/wiki/Air_Force_blue - Aero" xr:uid="{3FBDE85C-FFC3-4D49-B42D-47E2A2F597C1}"/>
    <hyperlink ref="A5" r:id="rId13" tooltip="Aero blue" display="https://en.wikipedia.org/wiki/Aero_blue" xr:uid="{E7116686-3BFF-4ECD-B68A-3E285FB08A74}"/>
    <hyperlink ref="A6" r:id="rId14" tooltip="African violet (color)" display="https://en.wikipedia.org/wiki/African_violet_(color)" xr:uid="{D72D767D-E6CE-463E-BB0E-5EAB08F02367}"/>
    <hyperlink ref="A7" r:id="rId15" location="Air_superiority_blue/PRU_blue" tooltip="Air Force blue" display="https://en.wikipedia.org/wiki/Air_Force_blue - Air_superiority_blue/PRU_blue" xr:uid="{9E324B07-BC34-409F-80EB-8376268A6FDD}"/>
    <hyperlink ref="A8" r:id="rId16" location="Alabaster" tooltip="Shades of white" display="https://en.wikipedia.org/wiki/Shades_of_white - Alabaster" xr:uid="{A8C788FB-7BCF-485D-BFD4-986B78323C3B}"/>
    <hyperlink ref="A9" r:id="rId17" tooltip="Alice blue" display="https://en.wikipedia.org/wiki/Alice_blue" xr:uid="{AB1C88C7-94C6-4ED3-B3A8-D17D5E1C89D6}"/>
    <hyperlink ref="A10" r:id="rId18" location="Alloy_orange" tooltip="Shades of orange" display="https://en.wikipedia.org/wiki/Shades_of_orange - Alloy_orange" xr:uid="{C5AE3A6B-734B-471B-A20C-E067F2B0D0D5}"/>
    <hyperlink ref="A11" r:id="rId19" tooltip="Almond (color)" display="https://en.wikipedia.org/wiki/Almond_(color)" xr:uid="{75D35E1B-E83B-4A5E-9C4A-C0F6667931F1}"/>
    <hyperlink ref="A12" r:id="rId20" tooltip="Amaranth (color)" display="https://en.wikipedia.org/wiki/Amaranth_(color)" xr:uid="{E101CA53-F37A-4354-8C59-FB549E763605}"/>
    <hyperlink ref="A13" r:id="rId21" location="Amaranth_deep_purple" tooltip="Amaranth (color)" display="https://en.wikipedia.org/wiki/Amaranth_(color) - Amaranth_deep_purple" xr:uid="{237971DD-AF1A-43E8-961D-599D8B37C8E6}"/>
    <hyperlink ref="A14" r:id="rId22" location="Amaranth_pink" tooltip="Amaranth (color)" display="https://en.wikipedia.org/wiki/Amaranth_(color) - Amaranth_pink" xr:uid="{F5E158DB-54CD-47DC-BCAB-C27C62890851}"/>
    <hyperlink ref="A15" r:id="rId23" location="Amaranth_purple" tooltip="Amaranth (color)" display="https://en.wikipedia.org/wiki/Amaranth_(color) - Amaranth_purple" xr:uid="{5F3FEAE1-8B13-4372-BDA4-D4B3A3F02F8E}"/>
    <hyperlink ref="A16" r:id="rId24" tooltip="Amaranth (color)" display="https://en.wikipedia.org/wiki/Amaranth_(color)" xr:uid="{E4E0498B-DC55-4714-B1DE-806417FB12BF}"/>
    <hyperlink ref="A17" r:id="rId25" tooltip="Amazon (color)" display="https://en.wikipedia.org/wiki/Amazon_(color)" xr:uid="{44ED788F-89F8-4EE7-92ED-D115A19AB821}"/>
    <hyperlink ref="A18" r:id="rId26" tooltip="Amber (color)" display="https://en.wikipedia.org/wiki/Amber_(color)" xr:uid="{DD9784B2-EA8D-4B1F-93A7-9C6A788AC1AC}"/>
    <hyperlink ref="A19" r:id="rId27" location="SAE/ECE_amber" tooltip="Amber (color)" display="https://en.wikipedia.org/wiki/Amber_(color) - SAE/ECE_amber" xr:uid="{B0E30F89-EA3E-4676-BD2D-E04B6C15BEBB}"/>
    <hyperlink ref="A20" r:id="rId28" tooltip="Amethyst (color)" display="https://en.wikipedia.org/wiki/Amethyst_(color)" xr:uid="{E4FF4FEF-E1FF-42F6-8672-96FDF9B00026}"/>
    <hyperlink ref="A21" r:id="rId29" tooltip="Android green" display="https://en.wikipedia.org/wiki/Android_green" xr:uid="{2EC16173-64C8-439E-B555-E4EBB0804F49}"/>
    <hyperlink ref="A22" r:id="rId30" tooltip="Antique brass" display="https://en.wikipedia.org/wiki/Antique_brass" xr:uid="{BD0705BA-8EB6-49B4-B088-0FC7B624436E}"/>
    <hyperlink ref="A23" r:id="rId31" tooltip="Antique bronze" display="https://en.wikipedia.org/wiki/Antique_bronze" xr:uid="{4C2DDE59-85F3-4247-AC73-DFD61598E2A6}"/>
    <hyperlink ref="A24" r:id="rId32" location="Antique_fuchsia" tooltip="Fuchsia (color)" display="https://en.wikipedia.org/wiki/Fuchsia_(color) - Antique_fuchsia" xr:uid="{7126EEA7-C89C-463F-A593-266F8D5944EE}"/>
    <hyperlink ref="A25" r:id="rId33" location="Antique_ruby" tooltip="Ruby (color)" display="https://en.wikipedia.org/wiki/Ruby_(color) - Antique_ruby" xr:uid="{E9D1B562-760E-4B85-9C63-3B06A05D339C}"/>
    <hyperlink ref="A26" r:id="rId34" location="Antique_white" tooltip="Shades of white" display="https://en.wikipedia.org/wiki/Shades_of_white - Antique_white" xr:uid="{8E1D898F-B8EC-437E-A356-D0296745A846}"/>
    <hyperlink ref="A27" r:id="rId35" tooltip="Ao (color)" display="https://en.wikipedia.org/wiki/Ao_(color)" xr:uid="{6B7DBFC4-24BD-46D6-BD62-43F992675EFF}"/>
    <hyperlink ref="A28" r:id="rId36" location="Apple_green" tooltip="Chartreuse (color)" display="https://en.wikipedia.org/wiki/Chartreuse_(color) - Apple_green" xr:uid="{2F026661-AFA0-481E-B5CA-304D66CC4EAF}"/>
    <hyperlink ref="A29" r:id="rId37" tooltip="Apricot (color)" display="https://en.wikipedia.org/wiki/Apricot_(color)" xr:uid="{01A5DC59-F90D-48D4-98C1-64ABAEF541E4}"/>
    <hyperlink ref="A30" r:id="rId38" tooltip="Aqua (color)" display="https://en.wikipedia.org/wiki/Aqua_(color)" xr:uid="{09861A76-25E4-44BD-8E93-1E1AFDF24907}"/>
    <hyperlink ref="A31" r:id="rId39" tooltip="Aquamarine (color)" display="https://en.wikipedia.org/wiki/Aquamarine_(color)" xr:uid="{AF946123-4405-4E6A-A84D-2CCBC88F7753}"/>
    <hyperlink ref="A32" r:id="rId40" location="Arctic_lime" tooltip="Lime (color)" display="https://en.wikipedia.org/wiki/Lime_(color) - Arctic_lime" xr:uid="{C70F975B-5B7F-4750-9112-8925916B91FC}"/>
    <hyperlink ref="A33" r:id="rId41" location="Army_green" tooltip="Shades of green" display="https://en.wikipedia.org/wiki/Shades_of_green - Army_green" xr:uid="{FF9D2FCC-848E-4E45-80A5-F87CE220BE8D}"/>
    <hyperlink ref="A34" r:id="rId42" location="Artichoke" tooltip="Shades of green" display="https://en.wikipedia.org/wiki/Shades_of_green - Artichoke" xr:uid="{EA114775-287F-494E-9D06-3B7695BF2D99}"/>
    <hyperlink ref="A35" r:id="rId43" tooltip="Arylide yellow" display="https://en.wikipedia.org/wiki/Arylide_yellow" xr:uid="{57853B7E-82F9-4002-B286-680113EA946D}"/>
    <hyperlink ref="A36" r:id="rId44" location="Ash_gray" tooltip="Shades of gray" display="https://en.wikipedia.org/wiki/Shades_of_gray - Ash_gray" xr:uid="{0A2C8204-207A-4AE7-91B1-17FE3D739BBA}"/>
    <hyperlink ref="A37" r:id="rId45" location="Asparagus" tooltip="Shades of green" display="https://en.wikipedia.org/wiki/Shades_of_green - Asparagus" xr:uid="{85E46864-B043-4825-84B5-416E83A39EBD}"/>
    <hyperlink ref="A38" r:id="rId46" location="Atomic_tangerine" tooltip="Shades of orange" display="https://en.wikipedia.org/wiki/Shades_of_orange - Atomic_tangerine" xr:uid="{ED2C947D-B294-41BA-8DFA-6060D0C2C56C}"/>
    <hyperlink ref="A39" r:id="rId47" tooltip="Auburn (color)" display="https://en.wikipedia.org/wiki/Auburn_(color)" xr:uid="{D28AAE38-5206-4781-88EB-EA1EAD01E65E}"/>
    <hyperlink ref="A40" r:id="rId48" tooltip="Aureolin" display="https://en.wikipedia.org/wiki/Aureolin" xr:uid="{B36B15DB-861B-47B6-9887-1EF6FA15B785}"/>
    <hyperlink ref="A41" r:id="rId49" location="Avocado" tooltip="Chartreuse (color)" display="https://en.wikipedia.org/wiki/Chartreuse_(color) - Avocado" xr:uid="{CEE9076F-FD98-404D-B8B7-47C2DCD43DB6}"/>
    <hyperlink ref="A42" r:id="rId50" tooltip="Azure (color)" display="https://en.wikipedia.org/wiki/Azure_(color)" xr:uid="{A607D33F-586D-4448-A85B-66F4F386C15B}"/>
    <hyperlink ref="A43" r:id="rId51" location="Azure_(web_color)" tooltip="Shades of azure" display="https://en.wikipedia.org/wiki/Shades_of_azure - Azure_(web_color)" xr:uid="{47AAB695-DE1B-484E-80DB-F88978CB93BD}"/>
    <hyperlink ref="A44" r:id="rId52" tooltip="Baby blue" display="https://en.wikipedia.org/wiki/Baby_blue" xr:uid="{844FB26E-3A2C-4029-A095-0DB2FEC53F89}"/>
    <hyperlink ref="A45" r:id="rId53" location="Baby_blue_eyes" tooltip="Baby blue" display="https://en.wikipedia.org/wiki/Baby_blue - Baby_blue_eyes" xr:uid="{981E7795-D553-442C-B094-C6CF738A1776}"/>
    <hyperlink ref="A46" r:id="rId54" location="Baby_pink" tooltip="Shades of pink" display="https://en.wikipedia.org/wiki/Shades_of_pink - Baby_pink" xr:uid="{DD49ECD3-3542-48FC-8B25-A22901E0685D}"/>
    <hyperlink ref="A47" r:id="rId55" location="Baby_powder" tooltip="Shades of white" display="https://en.wikipedia.org/wiki/Shades_of_white - Baby_powder" xr:uid="{FE2D2712-03FA-4406-BE4B-C5E3D39C08A5}"/>
    <hyperlink ref="A48" r:id="rId56" tooltip="Baker-Miller pink" display="https://en.wikipedia.org/wiki/Baker-Miller_pink" xr:uid="{E0166E45-5021-4F2A-B4AA-144DF86F3E6A}"/>
    <hyperlink ref="A49" r:id="rId57" location="Standard_colors" tooltip="List of Crayola crayon colors" display="https://en.wikipedia.org/wiki/List_of_Crayola_crayon_colors - Standard_colors" xr:uid="{5A480ABB-63AD-4D00-93CB-00D87DE67A0D}"/>
    <hyperlink ref="A50" r:id="rId58" location="Barbie_pink" tooltip="Shades of pink" display="https://en.wikipedia.org/wiki/Shades_of_pink - Barbie_pink" xr:uid="{1CCBF0A5-00E7-4F82-B842-A2EC382EB2AE}"/>
    <hyperlink ref="A51" r:id="rId59" location="Barn_red" tooltip="Shades of red" display="https://en.wikipedia.org/wiki/Shades_of_red - Barn_red" xr:uid="{90F09CCF-D1FC-4127-874C-360C9226E55A}"/>
    <hyperlink ref="A52" r:id="rId60" tooltip="Battleship grey" display="https://en.wikipedia.org/wiki/Battleship_grey" xr:uid="{94B5FA3B-E744-4A96-94AD-93466B9C06F3}"/>
    <hyperlink ref="A53" r:id="rId61" location="Beau_blue" tooltip="Baby blue" display="https://en.wikipedia.org/wiki/Baby_blue - Beau_blue" xr:uid="{CD94A9C7-1E0F-46D9-80A1-CD2E50F826A2}"/>
    <hyperlink ref="A54" r:id="rId62" location="Beaver" tooltip="Shades of brown" display="https://en.wikipedia.org/wiki/Shades_of_brown - Beaver" xr:uid="{523A5827-028C-4103-B9DF-B62FAA3B0ED8}"/>
    <hyperlink ref="A55" r:id="rId63" tooltip="Beige" display="https://en.wikipedia.org/wiki/Beige" xr:uid="{3B13373F-B781-4A75-A000-FF828EF1AAC1}"/>
    <hyperlink ref="A56" r:id="rId64" location="B'dazzled_blue" tooltip="Sapphire (color)" display="https://en.wikipedia.org/wiki/Sapphire_(color) - B'dazzled_blue" xr:uid="{5FEB1615-E055-4E70-A6D1-CF45DB5AA697}"/>
    <hyperlink ref="A57" r:id="rId65" location="Big_dip_o'ruby" tooltip="Ruby (color)" display="https://en.wikipedia.org/wiki/Ruby_(color) - Big_dip_o'ruby" xr:uid="{35770F80-32C3-4BA2-8845-CAED0A8CF84E}"/>
    <hyperlink ref="A58" r:id="rId66" location="Color_name_charts" tooltip="X11 color names" display="https://en.wikipedia.org/wiki/X11_color_names - Color_name_charts" xr:uid="{4BADFDB5-F89D-4706-86C7-0A4EA0C495B9}"/>
    <hyperlink ref="A59" r:id="rId67" tooltip="Bistre" display="https://en.wikipedia.org/wiki/Bistre" xr:uid="{423FF49D-74D7-4029-BCD2-87B38F7D7055}"/>
    <hyperlink ref="A60" r:id="rId68" location="Bistre_brown" tooltip="Bistre" display="https://en.wikipedia.org/wiki/Bistre - Bistre_brown" xr:uid="{8C74EEB0-B7E8-417A-97DB-5BE3237AB070}"/>
    <hyperlink ref="A61" r:id="rId69" location="Bitter_lemon" tooltip="Lemon (color)" display="https://en.wikipedia.org/wiki/Lemon_(color) - Bitter_lemon" xr:uid="{1BDBA5B8-54FB-4C14-B776-CA11D50319A9}"/>
    <hyperlink ref="A62" r:id="rId70" tooltip="Lime (color)" display="https://en.wikipedia.org/wiki/Lime_(color)" xr:uid="{3AC316FA-624B-4301-9E62-9BD5E7D5661E}"/>
    <hyperlink ref="A63" r:id="rId71" location="Bittersweet" tooltip="Shades of orange" display="https://en.wikipedia.org/wiki/Shades_of_orange - Bittersweet" xr:uid="{338B20A2-978C-42B1-A37A-5E7E725D43B7}"/>
    <hyperlink ref="A64" r:id="rId72" location="Bittersweet_shimmer" tooltip="Shades of orange" display="https://en.wikipedia.org/wiki/Shades_of_orange - Bittersweet_shimmer" xr:uid="{B94861E8-8910-4CE2-8D24-D34C26C1AA95}"/>
    <hyperlink ref="A65" r:id="rId73" tooltip="Black" display="https://en.wikipedia.org/wiki/Black" xr:uid="{12655197-5E21-43DA-9B69-F248D2E9AE73}"/>
    <hyperlink ref="A66" r:id="rId74" location="Black_bean" tooltip="Shades of black" display="https://en.wikipedia.org/wiki/Shades_of_black - Black_bean" xr:uid="{CE5866C1-5975-4E57-B86C-1BB1F8D747CB}"/>
    <hyperlink ref="A67" r:id="rId75" location="Black_chocolate" tooltip="Shades of black" display="https://en.wikipedia.org/wiki/Shades_of_black - Black_chocolate" xr:uid="{2D87C13B-8E43-4A11-9383-1E76237E90E8}"/>
    <hyperlink ref="A68" r:id="rId76" location="Black_coffee" tooltip="Shades of black" display="https://en.wikipedia.org/wiki/Shades_of_black - Black_coffee" xr:uid="{B0662714-E688-4DCF-8A0B-9588EB04571E}"/>
    <hyperlink ref="A69" r:id="rId77" location="Pearl_Brite" tooltip="List of Crayola crayon colors" display="https://en.wikipedia.org/wiki/List_of_Crayola_crayon_colors - Pearl_Brite" xr:uid="{BE58BAF6-E69F-44D4-A032-AC06D5FEFEF1}"/>
    <hyperlink ref="A70" r:id="rId78" location="Black_olive" tooltip="Olive (color)" display="https://en.wikipedia.org/wiki/Olive_(color) - Black_olive" xr:uid="{4E91F39D-7D98-4B74-8C36-C224C6CC1846}"/>
    <hyperlink ref="A71" r:id="rId79" location="Heads_'n_Tails" tooltip="List of Crayola crayon colors" display="https://en.wikipedia.org/wiki/List_of_Crayola_crayon_colors - Heads_'n_Tails" xr:uid="{78ED2E16-D530-498A-8F16-6744B37917C8}"/>
    <hyperlink ref="A72" r:id="rId80" tooltip="X11 color names" display="https://en.wikipedia.org/wiki/X11_color_names" xr:uid="{8D3A529B-24D5-423E-B98C-0B39B18A8E95}"/>
    <hyperlink ref="A73" r:id="rId81" location="Blast-off_bronze" tooltip="Bronze (color)" display="https://en.wikipedia.org/wiki/Bronze_(color) - Blast-off_bronze" xr:uid="{F68BB87B-B791-45B0-9158-257EA370E3A0}"/>
    <hyperlink ref="A74" r:id="rId82" tooltip="Bleu de France (colour)" display="https://en.wikipedia.org/wiki/Bleu_de_France_(colour)" xr:uid="{DFB2E142-60DC-4BE0-B973-3DD5C86792E3}"/>
    <hyperlink ref="A75" r:id="rId83" location="Fluorescent_crayons" tooltip="List of Crayola crayon colors" display="https://en.wikipedia.org/wiki/List_of_Crayola_crayon_colors - Fluorescent_crayons" xr:uid="{3D0305E7-80CE-4BF7-83E0-AB72C262FBD3}"/>
    <hyperlink ref="A76" r:id="rId84" tooltip="Blond" display="https://en.wikipedia.org/wiki/Blond" xr:uid="{8D2658D7-6FC1-4D27-8A98-F81B2743C01B}"/>
    <hyperlink ref="A77" r:id="rId85" tooltip="Blood red" display="https://en.wikipedia.org/wiki/Blood_red" xr:uid="{081F91AE-72B5-4FDA-AC50-A269BBB8A3B5}"/>
    <hyperlink ref="A78" r:id="rId86" tooltip="Blue" display="https://en.wikipedia.org/wiki/Blue" xr:uid="{FE40BF02-1F60-4FDD-9B16-855D4F056823}"/>
    <hyperlink ref="A79" r:id="rId87" location="Blue_(Crayola)" tooltip="Shades of blue" display="https://en.wikipedia.org/wiki/Shades_of_blue - Blue_(Crayola)" xr:uid="{7D07F69C-53AE-4075-ABD7-263B45A657CA}"/>
    <hyperlink ref="A80" r:id="rId88" location="Blue_(Munsell)" tooltip="Shades of blue" display="https://en.wikipedia.org/wiki/Shades_of_blue - Blue_(Munsell)" xr:uid="{2425422D-60E2-414C-A5A1-860A529C177C}"/>
    <hyperlink ref="A81" r:id="rId89" location="Blue_(NCS)_(psychological_primary_blue)" tooltip="Shades of blue" display="https://en.wikipedia.org/wiki/Shades_of_blue - Blue_(NCS)_(psychological_primary_blue)" xr:uid="{73466B0C-B578-4B89-A508-C90324AEB57C}"/>
    <hyperlink ref="A82" r:id="rId90" location="Blue_(Pantone)" tooltip="Shades of blue" display="https://en.wikipedia.org/wiki/Shades_of_blue - Blue_(Pantone)" xr:uid="{62853E4F-E40C-4C58-8391-13BDC0898C7A}"/>
    <hyperlink ref="A83" r:id="rId91" location="Blue_(CMYK)_(pigment_blue)" tooltip="Shades of blue" display="https://en.wikipedia.org/wiki/Shades_of_blue - Blue_(CMYK)_(pigment_blue)" xr:uid="{18842F0A-5A66-41AA-9941-29F925C11431}"/>
    <hyperlink ref="A84" r:id="rId92" tooltip="RYB color model" display="https://en.wikipedia.org/wiki/RYB_color_model" xr:uid="{C3836272-E691-48C2-AB52-A5890B302D99}"/>
    <hyperlink ref="A85" r:id="rId93" location="Standard_colors" tooltip="List of Crayola crayon colors" display="https://en.wikipedia.org/wiki/List_of_Crayola_crayon_colors - Standard_colors" xr:uid="{5A968638-E82F-402E-A541-D36D51EF5632}"/>
    <hyperlink ref="A86" r:id="rId94" tooltip="Blue-gray" display="https://en.wikipedia.org/wiki/Blue-gray" xr:uid="{A7CA0B8F-48F9-4095-941E-7BC56DA2C49C}"/>
    <hyperlink ref="A87" r:id="rId95" tooltip="Blue-green" display="https://en.wikipedia.org/wiki/Blue-green" xr:uid="{E0A8705A-A560-4C0E-8436-06071B1F20F6}"/>
    <hyperlink ref="A88" r:id="rId96" location="Blue-green_(color_wheel)" tooltip="Blue-green" display="https://en.wikipedia.org/wiki/Blue-green - Blue-green_(color_wheel)" xr:uid="{B86474EA-59C9-43D3-9E0C-4ADCE8E67A2A}"/>
    <hyperlink ref="A89" r:id="rId97" location="Heads_'n_Tails" tooltip="List of Crayola crayon colors" display="https://en.wikipedia.org/wiki/List_of_Crayola_crayon_colors - Heads_'n_Tails" xr:uid="{0D6D1494-27CA-4E49-AA5F-AA73C7E49655}"/>
    <hyperlink ref="A90" r:id="rId98" location="Blue_sapphire" tooltip="Sapphire (color)" display="https://en.wikipedia.org/wiki/Sapphire_(color) - Blue_sapphire" xr:uid="{683F70D4-8165-4BC9-A019-AE0767F745F9}"/>
    <hyperlink ref="A91" r:id="rId99" location="Deep_indigo_(web_color_blue-violet)" tooltip="Indigo" display="https://en.wikipedia.org/wiki/Indigo - Deep_indigo_(web_color_blue-violet)" xr:uid="{F3274B79-CBE1-4095-8541-FF51F53E16F6}"/>
    <hyperlink ref="A92" r:id="rId100" tooltip="Violet (color)" display="https://en.wikipedia.org/wiki/Violet_(color)" xr:uid="{51D98BE1-961C-465F-9D11-38357D6D5D0C}"/>
    <hyperlink ref="A93" r:id="rId101" tooltip="Violet (color)" display="https://en.wikipedia.org/wiki/Violet_(color)" xr:uid="{03964A6E-380C-4EA8-B5B7-1F1F83B3715C}"/>
    <hyperlink ref="A94" r:id="rId102" location="Blue_yonder" tooltip="Air Force blue" display="https://en.wikipedia.org/wiki/Air_Force_blue - Blue_yonder" xr:uid="{A80CF752-B4A3-4AD5-AEA7-6B42FFC67564}"/>
    <hyperlink ref="A95" r:id="rId103" tooltip="List of Crayola crayon colors" display="https://en.wikipedia.org/wiki/List_of_Crayola_crayon_colors" xr:uid="{9E0821E9-4119-4BA0-AD48-A17B84C4665A}"/>
    <hyperlink ref="A96" r:id="rId104" location="Blush" tooltip="Red-violet" display="https://en.wikipedia.org/wiki/Red-violet - Blush" xr:uid="{AA77BE30-F5D0-402E-8909-E85DC9647B47}"/>
    <hyperlink ref="A97" r:id="rId105" tooltip="Bole (color)" display="https://en.wikipedia.org/wiki/Bole_(color)" xr:uid="{72B41972-70CB-4A7B-A222-724D3264F7C3}"/>
    <hyperlink ref="A98" r:id="rId106" location="Bone" tooltip="Shades of white" display="https://en.wikipedia.org/wiki/Shades_of_white - Bone" xr:uid="{FCABF3DA-8771-4C44-9C1A-1D1F755073EA}"/>
    <hyperlink ref="A99" r:id="rId107" location="Bottle_green" tooltip="Shades of green" display="https://en.wikipedia.org/wiki/Shades_of_green - Bottle_green" xr:uid="{DB06B076-6C49-4B61-81EF-46D0EEDD0D04}"/>
    <hyperlink ref="A100" r:id="rId108" location="Brandy" tooltip="Shades of brown" display="https://en.wikipedia.org/wiki/Shades_of_brown - Brandy" xr:uid="{37CFE17C-06C7-4C93-B4C0-6BA464CC8168}"/>
    <hyperlink ref="A101" r:id="rId109" location="Standard_colors" tooltip="List of Crayola crayon colors" display="https://en.wikipedia.org/wiki/List_of_Crayola_crayon_colors - Standard_colors" xr:uid="{B2A3FAE8-CF5A-4E0D-9C14-157B096AFAA0}"/>
    <hyperlink ref="A102" r:id="rId110" location="Bright_green" tooltip="Shades of green" display="https://en.wikipedia.org/wiki/Shades_of_green - Bright_green" xr:uid="{F84A54F5-C241-46B0-B32C-E28B59DF9DBF}"/>
    <hyperlink ref="A103" r:id="rId111" location="Bright_lilac" tooltip="Lilac (color)" display="https://en.wikipedia.org/wiki/Lilac_(color) - Bright_lilac" xr:uid="{AE9F1894-22E4-465F-9BE4-202652235A71}"/>
    <hyperlink ref="A104" r:id="rId112" location="Bright_maroon" tooltip="Maroon" display="https://en.wikipedia.org/wiki/Maroon - Bright_maroon" xr:uid="{28CB3508-4A28-4C92-8BA9-524EC7DC536E}"/>
    <hyperlink ref="A105" r:id="rId113" location="Bright_navy_blue" tooltip="Navy blue" display="https://en.wikipedia.org/wiki/Navy_blue - Bright_navy_blue" xr:uid="{3E40A1AE-819A-492A-B744-9435D8BA07CE}"/>
    <hyperlink ref="A106" r:id="rId114" location="Heads_'n_Tails" tooltip="List of Crayola crayon colors" display="https://en.wikipedia.org/wiki/List_of_Crayola_crayon_colors - Heads_'n_Tails" xr:uid="{863A729B-207C-4F65-927B-27F82CD23715}"/>
    <hyperlink ref="A107" r:id="rId115" location="Brilliant_rose" tooltip="Rose (color)" display="https://en.wikipedia.org/wiki/Rose_(color) - Brilliant_rose" xr:uid="{53720F03-409B-4321-B8E4-8717C83BBEA0}"/>
    <hyperlink ref="A108" r:id="rId116" location="Brink_pink" tooltip="Rose (color)" display="https://en.wikipedia.org/wiki/Rose_(color) - Brink_pink" xr:uid="{1F49D468-BD4C-4CE4-8FC9-7FF8FD193FF1}"/>
    <hyperlink ref="A109" r:id="rId117" tooltip="British racing green" display="https://en.wikipedia.org/wiki/British_racing_green" xr:uid="{C4245EB0-2CD3-40D4-8572-D42254ECFD61}"/>
    <hyperlink ref="A110" r:id="rId118" tooltip="Bronze (color)" display="https://en.wikipedia.org/wiki/Bronze_(color)" xr:uid="{36A1647C-5358-499A-90D2-416CE3717F4A}"/>
    <hyperlink ref="A111" r:id="rId119" tooltip="Brown" display="https://en.wikipedia.org/wiki/Brown" xr:uid="{F1D455F6-2698-471B-973E-B1A3B644FF2D}"/>
    <hyperlink ref="A112" r:id="rId120" location="Heads_'n_Tails" tooltip="List of Crayola crayon colors" display="https://en.wikipedia.org/wiki/List_of_Crayola_crayon_colors - Heads_'n_Tails" xr:uid="{8C59D3B8-6905-42F8-B3E1-3D054494D97D}"/>
    <hyperlink ref="A113" r:id="rId121" location="Brunswick_green" tooltip="Shades of green" display="https://en.wikipedia.org/wiki/Shades_of_green - Brunswick_green" xr:uid="{4FEEC2D0-D25E-4F76-9AB8-473DD2ED59EB}"/>
    <hyperlink ref="A114" r:id="rId122" location="Bud_green" tooltip="Spring bud" display="https://en.wikipedia.org/wiki/Spring_bud - Bud_green" xr:uid="{8A258D0E-183D-4C67-80A7-0F6C92600BA9}"/>
    <hyperlink ref="A115" r:id="rId123" tooltip="Buff (colour)" display="https://en.wikipedia.org/wiki/Buff_(colour)" xr:uid="{195F00D8-8C6A-4E2B-8DF7-36E8F3E06A9B}"/>
    <hyperlink ref="A116" r:id="rId124" tooltip="Burgundy (color)" display="https://en.wikipedia.org/wiki/Burgundy_(color)" xr:uid="{C4D69963-A6AA-4D9B-94CF-380000C8D335}"/>
    <hyperlink ref="A117" r:id="rId125" location="Color_name_charts" tooltip="X11 color names" display="https://en.wikipedia.org/wiki/X11_color_names - Color_name_charts" xr:uid="{369DAB1A-BC15-405E-B03C-1B1BFFA98F2B}"/>
    <hyperlink ref="A118" r:id="rId126" location="Silver_Swirls" tooltip="List of Crayola crayon colors" display="https://en.wikipedia.org/wiki/List_of_Crayola_crayon_colors - Silver_Swirls" xr:uid="{3E96C5D4-A202-474E-A5F5-788D09D2FC82}"/>
    <hyperlink ref="A119" r:id="rId127" location="Burnt_orange" tooltip="Shades of orange" display="https://en.wikipedia.org/wiki/Shades_of_orange - Burnt_orange" xr:uid="{F0F39206-E5FB-4546-ADD0-54A52E0BA1F9}"/>
    <hyperlink ref="A120" r:id="rId128" tooltip="Burnt sienna" display="https://en.wikipedia.org/wiki/Burnt_sienna" xr:uid="{5A466C85-5238-4FFD-9648-1D46F0D74782}"/>
    <hyperlink ref="A121" r:id="rId129" tooltip="Burnt umber" display="https://en.wikipedia.org/wiki/Burnt_umber" xr:uid="{DAD51983-41A2-4873-8252-DA1E67CE1452}"/>
    <hyperlink ref="A122" r:id="rId130" location="Byzantine" tooltip="Byzantium (color)" display="https://en.wikipedia.org/wiki/Byzantium_(color) - Byzantine" xr:uid="{91C6A22A-8444-4F49-BA6D-8755C6D16B03}"/>
    <hyperlink ref="A123" r:id="rId131" tooltip="Byzantium (color)" display="https://en.wikipedia.org/wiki/Byzantium_(color)" xr:uid="{4CF6F5AB-F892-4915-97F9-BAB8EEFA2424}"/>
    <hyperlink ref="A124" r:id="rId132" location="Cadet" tooltip="Cadet grey" display="https://en.wikipedia.org/wiki/Cadet_grey - Cadet" xr:uid="{2AF35BB0-A08C-4100-9FA9-AE328D59B1E5}"/>
    <hyperlink ref="A125" r:id="rId133" location="Cadet_blue" tooltip="Cadet grey" display="https://en.wikipedia.org/wiki/Cadet_grey - Cadet_blue" xr:uid="{1320C821-7960-4D59-A5E8-BEF9A2461CC9}"/>
    <hyperlink ref="A126" r:id="rId134" location="Cadet_blue_(Crayola)" tooltip="Cadet grey" display="https://en.wikipedia.org/wiki/Cadet_grey - Cadet_blue_(Crayola)" xr:uid="{1A1C1C12-5DD7-4587-BB60-1B9799028931}"/>
    <hyperlink ref="A127" r:id="rId135" tooltip="Cadet grey" display="https://en.wikipedia.org/wiki/Cadet_grey" xr:uid="{08941CF5-F5E2-4482-8894-D25A7A672B80}"/>
    <hyperlink ref="A128" r:id="rId136" tooltip="Cadmium pigments" display="https://en.wikipedia.org/wiki/Cadmium_pigments" xr:uid="{10179811-7117-4623-BE93-AAB93E3AD7C1}"/>
    <hyperlink ref="A129" r:id="rId137" tooltip="Cadmium pigments" display="https://en.wikipedia.org/wiki/Cadmium_pigments" xr:uid="{AD14A19C-CFD5-49A2-9075-F4B16CC4D3E2}"/>
    <hyperlink ref="A130" r:id="rId138" tooltip="Cadmium pigments" display="https://en.wikipedia.org/wiki/Cadmium_pigments" xr:uid="{13F31A30-F19B-44CB-B54C-C9AEB11FA3E8}"/>
    <hyperlink ref="A131" r:id="rId139" tooltip="Cadmium pigments" display="https://en.wikipedia.org/wiki/Cadmium_pigments" xr:uid="{E61416C6-6F88-4D5E-81DA-BFE941960F3E}"/>
    <hyperlink ref="A132" r:id="rId140" location="Caf%C3%A9_au_Lait" tooltip="Coffee (color)" display="https://en.wikipedia.org/wiki/Coffee_(color) - Caf%C3%A9_au_Lait" xr:uid="{EB02380C-5DB6-420C-B9DC-ACDD3904C00F}"/>
    <hyperlink ref="A133" r:id="rId141" location="Caf%C3%A9_Noir" tooltip="Coffee (color)" display="https://en.wikipedia.org/wiki/Coffee_(color) - Caf%C3%A9_Noir" xr:uid="{FFFE7C11-6FD6-4CDD-B3BF-498094B4A309}"/>
    <hyperlink ref="A134" r:id="rId142" tooltip="Cambridge Blue (colour)" display="https://en.wikipedia.org/wiki/Cambridge_Blue_(colour)" xr:uid="{08F04585-AD01-4663-9420-71B9F96B1437}"/>
    <hyperlink ref="A135" r:id="rId143" location="Camel" tooltip="Camel (color)" display="https://en.wikipedia.org/wiki/Camel_(color) - Camel" xr:uid="{55F8FC3A-20A2-4914-800F-6374A8F4CB58}"/>
    <hyperlink ref="A136" r:id="rId144" location="Cameo_pink" tooltip="Shades of pink" display="https://en.wikipedia.org/wiki/Shades_of_pink - Cameo_pink" xr:uid="{CB7B2B1F-3716-401F-A7C7-94684CA4E40C}"/>
    <hyperlink ref="A137" r:id="rId145" location="Crayola_No._64" tooltip="History of Crayola crayons" display="https://en.wikipedia.org/wiki/History_of_Crayola_crayons - Crayola_No._64" xr:uid="{630022F0-B6D4-447E-B605-1EDEC9963B4D}"/>
    <hyperlink ref="A138" r:id="rId146" location="Yellow_(CMYK)_(process_yellow)_(canary_yellow)" tooltip="Shades of yellow" display="https://en.wikipedia.org/wiki/Shades_of_yellow - Yellow_(CMYK)_(process_yellow)_(canary_yellow)" xr:uid="{8AB3F11A-1B18-4C03-BC79-D8A7FA07512E}"/>
    <hyperlink ref="A139" r:id="rId147" tooltip="Candy apple red" display="https://en.wikipedia.org/wiki/Candy_apple_red" xr:uid="{8563BAB8-F974-4518-9B5E-374036F698D4}"/>
    <hyperlink ref="A140" r:id="rId148" location="Candy_pink" tooltip="Candy apple red" display="https://en.wikipedia.org/wiki/Candy_apple_red - Candy_pink" xr:uid="{4962438B-243A-4EE2-8F74-F6E5DAAF5C77}"/>
    <hyperlink ref="A141" r:id="rId149" location="Deep_sky_blue" tooltip="Sky blue" display="https://en.wikipedia.org/wiki/Sky_blue - Deep_sky_blue" xr:uid="{83DCDC77-1A8A-48F1-85DE-2205881813F7}"/>
    <hyperlink ref="A142" r:id="rId150" tooltip="Caput mortuum (pigment)" display="https://en.wikipedia.org/wiki/Caput_mortuum_(pigment)" xr:uid="{A0A37B89-27BD-400A-8A45-AE9C40A57B2E}"/>
    <hyperlink ref="A143" r:id="rId151" tooltip="Cardinal (color)" display="https://en.wikipedia.org/wiki/Cardinal_(color)" xr:uid="{F2247D23-C13B-4296-8CDC-FCEA7003A3B0}"/>
    <hyperlink ref="A144" r:id="rId152" location="Caribbean_green" tooltip="Spring green" display="https://en.wikipedia.org/wiki/Spring_green - Caribbean_green" xr:uid="{ED767752-48EF-4EB2-9488-5890E4EC66E9}"/>
    <hyperlink ref="A145" r:id="rId153" tooltip="Carmine (color)" display="https://en.wikipedia.org/wiki/Carmine_(color)" xr:uid="{BA697DF6-8093-4CDC-A92D-D3D73FB3A477}"/>
    <hyperlink ref="A146" r:id="rId154" location="Rich_carmine" tooltip="Carmine (color)" display="https://en.wikipedia.org/wiki/Carmine_(color) - Rich_carmine" xr:uid="{35B25E4C-F040-4E21-B573-36D3A3F43FB3}"/>
    <hyperlink ref="A147" r:id="rId155" tooltip="Carnation pink" display="https://en.wikipedia.org/wiki/Carnation_pink" xr:uid="{568BF33F-EF28-415A-BD23-ED613C02538E}"/>
    <hyperlink ref="A148" r:id="rId156" tooltip="Carnelian (color)" display="https://en.wikipedia.org/wiki/Carnelian_(color)" xr:uid="{EFDF0E20-7E9E-4ECB-906F-448C5055C212}"/>
    <hyperlink ref="A149" r:id="rId157" tooltip="Carolina blue" display="https://en.wikipedia.org/wiki/Carolina_blue" xr:uid="{A4995D1B-3855-41C8-A11F-81F6AA3D4BD5}"/>
    <hyperlink ref="A150" r:id="rId158" location="Carrot_orange" tooltip="Shades of orange" display="https://en.wikipedia.org/wiki/Shades_of_orange - Carrot_orange" xr:uid="{F71BED6F-768E-4173-8A7D-A5BDC65C6472}"/>
    <hyperlink ref="A151" r:id="rId159" location="Castleton_green" tooltip="Shades of green" display="https://en.wikipedia.org/wiki/Shades_of_green - Castleton_green" xr:uid="{6382DD6E-743E-40E0-A660-F9578AFD3FDA}"/>
    <hyperlink ref="A152" r:id="rId160" location="Catawba_(color)" tooltip="Catawba (grape)" display="https://en.wikipedia.org/wiki/Catawba_(grape) - Catawba_(color)" xr:uid="{5F37DC2F-38BE-400D-AC0A-CA84B40A84A3}"/>
    <hyperlink ref="A153" r:id="rId161" location="Magic_Scent" tooltip="List of Crayola crayon colors" display="https://en.wikipedia.org/wiki/List_of_Crayola_crayon_colors - Magic_Scent" xr:uid="{CE26B2E7-9053-448B-A943-164C29A98553}"/>
    <hyperlink ref="A154" r:id="rId162" location="Celadon" tooltip="Shades of green" display="https://en.wikipedia.org/wiki/Shades_of_green - Celadon" xr:uid="{432D1AE5-BC03-43C2-89F3-8C32DE007733}"/>
    <hyperlink ref="A155" r:id="rId163" location="Cerulean" tooltip="Shades of cyan" display="https://en.wikipedia.org/wiki/Shades_of_cyan - Cerulean" xr:uid="{B18BAD57-E78B-48F7-B23D-9D7B3A1B21C6}"/>
    <hyperlink ref="A156" r:id="rId164" location="Celadon_green" tooltip="Shades of green" display="https://en.wikipedia.org/wiki/Shades_of_green - Celadon_green" xr:uid="{DA72CF64-B216-42DE-B0C6-9C6C0CDA6259}"/>
    <hyperlink ref="A157" r:id="rId165" location="Celeste" tooltip="Sky blue" display="https://en.wikipedia.org/wiki/Sky_blue - Celeste" xr:uid="{8C963BB3-1993-4A5F-8E3C-1BF3A4E72005}"/>
    <hyperlink ref="A158" r:id="rId166" tooltip="Isatis tinctoria" display="https://en.wikipedia.org/wiki/Isatis_tinctoria" xr:uid="{BC8F4816-D64C-4646-B00B-576969B26EDC}"/>
    <hyperlink ref="A159" r:id="rId167" tooltip="Cerise (color)" display="https://en.wikipedia.org/wiki/Cerise_(color)" xr:uid="{E83DD3FC-DD5B-493D-8561-BB7EE2105396}"/>
    <hyperlink ref="A160" r:id="rId168" tooltip="Cerulean" display="https://en.wikipedia.org/wiki/Cerulean" xr:uid="{CF965D9B-91C4-44E1-B7BC-833FB2B6D8B2}"/>
    <hyperlink ref="A161" r:id="rId169" location="Cerulean_blue" tooltip="Cerulean" display="https://en.wikipedia.org/wiki/Cerulean - Cerulean_blue" xr:uid="{F1BFEA52-6ED4-49A4-9E4B-0A230231457B}"/>
    <hyperlink ref="A162" r:id="rId170" location="Cerulean_frost" tooltip="Cerulean" display="https://en.wikipedia.org/wiki/Cerulean - Cerulean_frost" xr:uid="{8C504CAF-4BD3-4823-8E49-C3973F707754}"/>
    <hyperlink ref="A163" r:id="rId171" location="Cerulean_(Crayola)" tooltip="Cerulean" display="https://en.wikipedia.org/wiki/Cerulean - Cerulean_(Crayola)" xr:uid="{7CD37DB3-5D8B-4359-A35B-57DD3C65E05F}"/>
    <hyperlink ref="A164" r:id="rId172" tooltip="CG Blue" display="https://en.wikipedia.org/wiki/CG_Blue" xr:uid="{FD5A55BA-71A4-4EDF-B97A-77B679344FEB}"/>
    <hyperlink ref="A165" r:id="rId173" tooltip="CG Red" display="https://en.wikipedia.org/wiki/CG_Red" xr:uid="{01A5CC99-01CF-415E-88C5-BD6DD21282CD}"/>
    <hyperlink ref="A166" r:id="rId174" location="Champagne" tooltip="Champagne (color)" display="https://en.wikipedia.org/wiki/Champagne_(color) - Champagne" xr:uid="{D4BD8993-C9D0-45D5-87D3-3ACBFF0C5BC0}"/>
    <hyperlink ref="A167" r:id="rId175" location="Other_notable_pink_colors" tooltip="Shades of pink" display="https://en.wikipedia.org/wiki/Shades_of_pink - Other_notable_pink_colors" xr:uid="{D31653A5-E6F9-4449-AF5D-5D5E0D2F6630}"/>
    <hyperlink ref="A168" r:id="rId176" location="Charcoal" tooltip="Shades of gray" display="https://en.wikipedia.org/wiki/Shades_of_gray - Charcoal" xr:uid="{A9D0389B-6B26-4ED9-BA72-2F40D312F10D}"/>
    <hyperlink ref="A169" r:id="rId177" location="Charleston_green" tooltip="Shades of black (colors)" display="https://en.wikipedia.org/wiki/Shades_of_black_(colors) - Charleston_green" xr:uid="{272F4256-E5A9-4328-A0C8-FA832DB0F2AB}"/>
    <hyperlink ref="A170" r:id="rId178" location="Charm_pink" tooltip="Shades of pink" display="https://en.wikipedia.org/wiki/Shades_of_pink - Charm_pink" xr:uid="{19D588CB-4AFC-40FF-9CF7-314A2387AB12}"/>
    <hyperlink ref="A171" r:id="rId179" tooltip="Chartreuse (color)" display="https://en.wikipedia.org/wiki/Chartreuse_(color)" xr:uid="{270BB6FF-403F-4F82-8AC3-CC484DEFEF4D}"/>
    <hyperlink ref="A172" r:id="rId180" tooltip="Chartreuse (color)" display="https://en.wikipedia.org/wiki/Chartreuse_(color)" xr:uid="{C30246AE-65A8-4689-B057-46CA7A178A15}"/>
    <hyperlink ref="A173" r:id="rId181" location="Cherry_blossom_pink" tooltip="Shades of pink" display="https://en.wikipedia.org/wiki/Shades_of_pink - Cherry_blossom_pink" xr:uid="{177635D2-02B5-40DA-B0DD-407048B0BF5B}"/>
    <hyperlink ref="A174" r:id="rId182" tooltip="Chestnut (color)" display="https://en.wikipedia.org/wiki/Chestnut_(color)" xr:uid="{9BFB1771-D837-4C87-B4FC-4DD5FA413B8F}"/>
    <hyperlink ref="A175" r:id="rId183" location="Chili_red" tooltip="Shades of red" display="https://en.wikipedia.org/wiki/Shades_of_red - Chili_red" xr:uid="{6E846978-4D3B-4B12-8C87-17625BCB3FF9}"/>
    <hyperlink ref="A176" r:id="rId184" location="China_pink" tooltip="Shades of pink" display="https://en.wikipedia.org/wiki/Shades_of_pink - China_pink" xr:uid="{0635BCC7-9434-46B1-A06A-BAEA902F3725}"/>
    <hyperlink ref="A177" r:id="rId185" location="China_rose" tooltip="Rose (color)" display="https://en.wikipedia.org/wiki/Rose_(color) - China_rose" xr:uid="{1AE0C92C-8736-47E2-8ECD-D04BCED9C771}"/>
    <hyperlink ref="A178" r:id="rId186" location="Chinese_red_2" tooltip="Vermilion" display="https://en.wikipedia.org/wiki/Vermilion - Chinese_red_2" xr:uid="{24253467-827F-4E57-8870-DC7559465E44}"/>
    <hyperlink ref="A179" r:id="rId187" location="Chinese_violet" tooltip="Shades of violet" display="https://en.wikipedia.org/wiki/Shades_of_violet - Chinese_violet" xr:uid="{83DF8E5C-267E-4C92-9130-60A041814F50}"/>
    <hyperlink ref="A180" r:id="rId188" location="Chinese_yellow" tooltip="Shades of yellow" display="https://en.wikipedia.org/wiki/Shades_of_yellow - Chinese_yellow" xr:uid="{A671CC29-D168-4A28-85B0-2D330F0DA71B}"/>
    <hyperlink ref="A181" r:id="rId189" tooltip="Chocolate (color)" display="https://en.wikipedia.org/wiki/Chocolate_(color)" xr:uid="{C0AFEEB4-0559-4CD2-BE8D-2E4411AE575C}"/>
    <hyperlink ref="A182" r:id="rId190" location="Variations_of_chocolate" tooltip="Chocolate (color)" display="https://en.wikipedia.org/wiki/Chocolate_(color) - Variations_of_chocolate" xr:uid="{3A42D259-85E7-4D5B-823D-5B6FC19B3AD7}"/>
    <hyperlink ref="A183" r:id="rId191" location="Chocolate_Cosmos" tooltip="Shades of red" display="https://en.wikipedia.org/wiki/Shades_of_red - Chocolate_Cosmos" xr:uid="{96927E00-38C1-4F2C-9AC8-FDA0CA5BDDFC}"/>
    <hyperlink ref="A184" r:id="rId192" tooltip="Chrome yellow" display="https://en.wikipedia.org/wiki/Chrome_yellow" xr:uid="{276964CB-374E-423F-8F68-A0917FDA14F7}"/>
    <hyperlink ref="A185" r:id="rId193" tooltip="Cinereous" display="https://en.wikipedia.org/wiki/Cinereous" xr:uid="{F5059D24-AA49-4A72-87F2-265ED6B08663}"/>
    <hyperlink ref="A186" r:id="rId194" tooltip="Vermilion" display="https://en.wikipedia.org/wiki/Vermilion" xr:uid="{35440E70-D646-41AA-A0FC-655CA78EC24C}"/>
    <hyperlink ref="A187" r:id="rId195" location="Silver_Swirls" tooltip="List of Crayola crayon colors" display="https://en.wikipedia.org/wiki/List_of_Crayola_crayon_colors - Silver_Swirls" xr:uid="{786A38E3-BC3F-4E6F-8F5B-C57BE3EB4B2C}"/>
    <hyperlink ref="A188" r:id="rId196" tooltip="Citrine (colour)" display="https://en.wikipedia.org/wiki/Citrine_(colour)" xr:uid="{8FFA51B3-4392-4E77-8CD9-EB31A7A561EA}"/>
    <hyperlink ref="A189" r:id="rId197" location="Citron" tooltip="Lemon (color)" display="https://en.wikipedia.org/wiki/Lemon_(color) - Citron" xr:uid="{5E88C01D-9C2A-4A40-9772-D7B72D256C13}"/>
    <hyperlink ref="A190" r:id="rId198" location="Claret" tooltip="Wine (color)" display="https://en.wikipedia.org/wiki/Wine_(color) - Claret" xr:uid="{E441AD54-8F3B-402B-9747-62E1DD75F46A}"/>
    <hyperlink ref="A191" r:id="rId199" tooltip="Cobalt blue" display="https://en.wikipedia.org/wiki/Cobalt_blue" xr:uid="{8BE42E6F-119F-4905-BC9F-E4A14F4EF471}"/>
    <hyperlink ref="A192" r:id="rId200" location="Variations_of_chocolate" tooltip="Chocolate (color)" display="https://en.wikipedia.org/wiki/Chocolate_(color) - Variations_of_chocolate" xr:uid="{52198AB5-FFB9-44DF-A3FF-3BE8DE112442}"/>
    <hyperlink ref="A193" r:id="rId201" tooltip="Coffee (color)" display="https://en.wikipedia.org/wiki/Coffee_(color)" xr:uid="{D6332393-66FB-46E6-B4E3-3F43BADC2E9D}"/>
    <hyperlink ref="A194" r:id="rId202" tooltip="Columbia Blue" display="https://en.wikipedia.org/wiki/Columbia_Blue" xr:uid="{D2DADBCB-7D42-4FFD-B234-DB76ABAC64D7}"/>
    <hyperlink ref="A195" r:id="rId203" location="Congo_pink" tooltip="Shades of pink" display="https://en.wikipedia.org/wiki/Shades_of_pink - Congo_pink" xr:uid="{5EC65BCF-123F-4AD3-AE98-32D9A68FAD9F}"/>
    <hyperlink ref="A196" r:id="rId204" location="Cool_gray" tooltip="Shades of gray" display="https://en.wikipedia.org/wiki/Shades_of_gray - Cool_gray" xr:uid="{FD92292D-2049-4D4D-9C0B-5FB4A3D41F70}"/>
    <hyperlink ref="A197" r:id="rId205" tooltip="Copper (color)" display="https://en.wikipedia.org/wiki/Copper_(color)" xr:uid="{45783784-789F-46E4-9F0C-B734CAFEA104}"/>
    <hyperlink ref="A198" r:id="rId206" location="Variations_of_copper" tooltip="Copper (color)" display="https://en.wikipedia.org/wiki/Copper_(color) - Variations_of_copper" xr:uid="{70D2C474-398D-48D0-964A-C1025516A77B}"/>
    <hyperlink ref="A199" r:id="rId207" location="Copper_penny" tooltip="Copper (color)" display="https://en.wikipedia.org/wiki/Copper_(color) - Copper_penny" xr:uid="{678FC9F8-1C74-4558-AC2A-61F7879E5C28}"/>
    <hyperlink ref="A200" r:id="rId208" location="Copper_red" tooltip="Copper (color)" display="https://en.wikipedia.org/wiki/Copper_(color) - Copper_red" xr:uid="{77EC01E2-047A-40AA-A920-A6096450B599}"/>
    <hyperlink ref="A201" r:id="rId209" location="Copper_rose" tooltip="Copper (color)" display="https://en.wikipedia.org/wiki/Copper_(color) - Copper_rose" xr:uid="{038BAF81-C07C-49A7-8D7F-97D6B4A0FF00}"/>
    <hyperlink ref="A202" r:id="rId210" tooltip="Coquelicot" display="https://en.wikipedia.org/wiki/Coquelicot" xr:uid="{61510DFF-2D3C-4A96-B3C9-249DF0A01792}"/>
    <hyperlink ref="A203" r:id="rId211" tooltip="Coral (color)" display="https://en.wikipedia.org/wiki/Coral_(color)" xr:uid="{AB2736BB-7B5B-498C-93B3-5CE9D9BA0EA6}"/>
    <hyperlink ref="A204" r:id="rId212" location="Coral_pink" tooltip="Coral (color)" display="https://en.wikipedia.org/wiki/Coral_(color) - Coral_pink" xr:uid="{6AB660F6-842E-42DD-B4D5-8DC144FA5850}"/>
    <hyperlink ref="A205" r:id="rId213" tooltip="Cordovan (color)" display="https://en.wikipedia.org/wiki/Cordovan_(color)" xr:uid="{76A87786-46B5-46FF-BA3E-02602B4AE319}"/>
    <hyperlink ref="A206" r:id="rId214" tooltip="Corn (color)" display="https://en.wikipedia.org/wiki/Corn_(color)" xr:uid="{4A6E6DCD-409A-4A96-911D-4966531EFBE3}"/>
    <hyperlink ref="A207" r:id="rId215" location="Cornell_red" tooltip="Shades of red" display="https://en.wikipedia.org/wiki/Shades_of_red - Cornell_red" xr:uid="{6239E5E9-DC58-427A-A26D-F7FFD424E34C}"/>
    <hyperlink ref="A208" r:id="rId216" tooltip="Cornflower blue" display="https://en.wikipedia.org/wiki/Cornflower_blue" xr:uid="{F13A11C0-B7CF-44B7-9ADC-CD2A880F1704}"/>
    <hyperlink ref="A209" r:id="rId217" location="Cornsilk" tooltip="Shades of white" display="https://en.wikipedia.org/wiki/Shades_of_white - Cornsilk" xr:uid="{E4C9D3FA-19C1-4933-8F3F-494A41C83E5A}"/>
    <hyperlink ref="A210" r:id="rId218" location="Silver_Swirls" tooltip="List of Crayola crayon colors" display="https://en.wikipedia.org/wiki/List_of_Crayola_crayon_colors - Silver_Swirls" xr:uid="{25F33A86-DE92-43E4-AAD9-C654DF88B193}"/>
    <hyperlink ref="A211" r:id="rId219" tooltip="Cosmic latte" display="https://en.wikipedia.org/wiki/Cosmic_latte" xr:uid="{E9C4CDB3-319B-469B-9873-0887B8AC290B}"/>
    <hyperlink ref="A212" r:id="rId220" tooltip="Coyote brown" display="https://en.wikipedia.org/wiki/Coyote_brown" xr:uid="{F946BB75-4C58-4094-AA10-9E6386BBD4F7}"/>
    <hyperlink ref="A213" r:id="rId221" location="Cotton_candy" tooltip="Shades of pink" display="https://en.wikipedia.org/wiki/Shades_of_pink - Cotton_candy" xr:uid="{EF650B13-AE9A-4B7C-B7F0-46401DF298DC}"/>
    <hyperlink ref="A214" r:id="rId222" tooltip="Cream (colour)" display="https://en.wikipedia.org/wiki/Cream_(colour)" xr:uid="{4B45D206-58E7-4173-9CEB-873F0C7F8B14}"/>
    <hyperlink ref="A215" r:id="rId223" tooltip="Crimson" display="https://en.wikipedia.org/wiki/Crimson" xr:uid="{CBA833CA-C286-4EC2-A2FD-974921345220}"/>
    <hyperlink ref="A216" r:id="rId224" location="School_colors" tooltip="Crimson" display="https://en.wikipedia.org/wiki/Crimson - School_colors" xr:uid="{E6F443E1-30D3-4BD1-B815-B6B07C32569A}"/>
    <hyperlink ref="A217" r:id="rId225" tooltip="Crystal" display="https://en.wikipedia.org/wiki/Crystal" xr:uid="{EA454C9B-E6FF-44BC-8A3C-DC2D5F0451BC}"/>
    <hyperlink ref="A218" r:id="rId226" location="Pearl_Brite" tooltip="List of Crayola crayon colors" display="https://en.wikipedia.org/wiki/List_of_Crayola_crayon_colors - Pearl_Brite" xr:uid="{2C838ADF-63E4-4863-9B34-2491B39369FD}"/>
    <hyperlink ref="A219" r:id="rId227" tooltip="Cyan" display="https://en.wikipedia.org/wiki/Cyan" xr:uid="{B2CB2CAF-6F4A-4657-A405-E81528042F12}"/>
    <hyperlink ref="A220" r:id="rId228" location="Process_cyan" tooltip="Cyan" display="https://en.wikipedia.org/wiki/Cyan - Process_cyan" xr:uid="{BD2CE6BC-4C9C-4FFC-9D01-865DA796389B}"/>
    <hyperlink ref="A221" r:id="rId229" location="Metallic_FX" tooltip="List of Crayola crayon colors" display="https://en.wikipedia.org/wiki/List_of_Crayola_crayon_colors - Metallic_FX" xr:uid="{C426DC72-79AC-4D01-9735-E49B68D38742}"/>
    <hyperlink ref="A222" r:id="rId230" location="Cyber_yellow" tooltip="Shades of yellow" display="https://en.wikipedia.org/wiki/Shades_of_yellow - Cyber_yellow" xr:uid="{59016A7C-50AD-4E1D-BBF8-6B1908D34A2F}"/>
    <hyperlink ref="A223" r:id="rId231" tooltip="Cyclamen (color)" display="https://en.wikipedia.org/wiki/Cyclamen_(color)" xr:uid="{249DC55F-2E2F-41CB-88D7-F1BA712D0E5F}"/>
    <hyperlink ref="A224" r:id="rId232" location="Dark_blue-gray" tooltip="Blue-gray" display="https://en.wikipedia.org/wiki/Blue-gray - Dark_blue-gray" xr:uid="{62F1B7A0-BEB3-4520-A1D8-6F9CA30E76B3}"/>
    <hyperlink ref="A225" r:id="rId233" location="Dark_brown" tooltip="Shades of brown" display="https://en.wikipedia.org/wiki/Shades_of_brown - Dark_brown" xr:uid="{2B12224A-2223-4333-ADFB-B75B084BA7DC}"/>
    <hyperlink ref="A226" r:id="rId234" location="Dark_byzantium" tooltip="Byzantium (color)" display="https://en.wikipedia.org/wiki/Byzantium_(color) - Dark_byzantium" xr:uid="{2B85D1DE-2118-46C7-8584-7E7514233A0C}"/>
    <hyperlink ref="A227" r:id="rId235" location="Dark_cornflower_blue" tooltip="Cornflower blue" display="https://en.wikipedia.org/wiki/Cornflower_blue - Dark_cornflower_blue" xr:uid="{F7C74BF6-2265-45BB-B233-FF4FC656196D}"/>
    <hyperlink ref="A228" r:id="rId236" location="Dark_cyan" tooltip="Shades of cyan" display="https://en.wikipedia.org/wiki/Shades_of_cyan - Dark_cyan" xr:uid="{B5187C2F-DF1D-49A5-8942-CFBF53A8CA2A}"/>
    <hyperlink ref="A229" r:id="rId237" location="Dark_electric_blue" tooltip="Electric blue (color)" display="https://en.wikipedia.org/wiki/Electric_blue_(color) - Dark_electric_blue" xr:uid="{65775977-E692-4890-BB65-42CF99DC09E1}"/>
    <hyperlink ref="A230" r:id="rId238" location="Dark_goldenrod" tooltip="Goldenrod (color)" display="https://en.wikipedia.org/wiki/Goldenrod_(color) - Dark_goldenrod" xr:uid="{A1B2310E-FECA-4638-AE1B-93ED5D2F2132}"/>
    <hyperlink ref="A231" r:id="rId239" location="Dark_green" tooltip="Shades of green" display="https://en.wikipedia.org/wiki/Shades_of_green - Dark_green" xr:uid="{04346A99-B62B-4378-9205-E9F4F7F23150}"/>
    <hyperlink ref="A232" r:id="rId240" location="Dark_green_(X11)" tooltip="Shades of green" display="https://en.wikipedia.org/wiki/Shades_of_green - Dark_green_(X11)" xr:uid="{D95402A4-61C9-42BB-95F5-0C4FCEC6D903}"/>
    <hyperlink ref="A233" r:id="rId241" location="Dark_jungle_green" tooltip="Jungle green" display="https://en.wikipedia.org/wiki/Jungle_green - Dark_jungle_green" xr:uid="{9EEF1EFE-E798-4CA1-8FEA-11FD093BF2BF}"/>
    <hyperlink ref="A234" r:id="rId242" location="Dark_khaki" tooltip="Khaki (color)" display="https://en.wikipedia.org/wiki/Khaki_(color) - Dark_khaki" xr:uid="{200D7CB3-2A59-4139-A3FD-7F4459A564CF}"/>
    <hyperlink ref="A235" r:id="rId243" location="Dark_lava" tooltip="Lava (color)" display="https://en.wikipedia.org/wiki/Lava_(color) - Dark_lava" xr:uid="{943C1FDD-41A2-4516-AF26-1C082B8FD0E4}"/>
    <hyperlink ref="A236" r:id="rId244" location="Dark_liver_(web)" tooltip="Liver (color)" display="https://en.wikipedia.org/wiki/Liver_(color) - Dark_liver_(web)" xr:uid="{ED5138EC-69BF-4B42-B5B5-10C9DDBC540F}"/>
    <hyperlink ref="A237" r:id="rId245" location="Dark_liver_(horses)" tooltip="Liver (color)" display="https://en.wikipedia.org/wiki/Liver_(color) - Dark_liver_(horses)" xr:uid="{600D4588-99DC-4FBF-B80B-2DF9F50BE288}"/>
    <hyperlink ref="A238" r:id="rId246" location="Dark_magenta" tooltip="Shades of magenta" display="https://en.wikipedia.org/wiki/Shades_of_magenta - Dark_magenta" xr:uid="{CBFA28A1-8C83-47B4-8088-ABCE8DD1D753}"/>
    <hyperlink ref="A239" r:id="rId247" location="Dark_moss_green" tooltip="Shades of green" display="https://en.wikipedia.org/wiki/Shades_of_green - Dark_moss_green" xr:uid="{547C3DC9-C14A-4097-9D15-CA2BB58FAF95}"/>
    <hyperlink ref="A240" r:id="rId248" location="Dark_olive_green" tooltip="Olive (color)" display="https://en.wikipedia.org/wiki/Olive_(color) - Dark_olive_green" xr:uid="{85232789-8265-45C2-841B-207757EC80E1}"/>
    <hyperlink ref="A241" r:id="rId249" location="Dark_orange_(web_color)" tooltip="Shades of orange" display="https://en.wikipedia.org/wiki/Shades_of_orange - Dark_orange_(web_color)" xr:uid="{CA2E2D5C-6931-41C7-9D22-BFFF2C3D3CD8}"/>
    <hyperlink ref="A242" r:id="rId250" location="Dark_orchid" tooltip="Orchid (color)" display="https://en.wikipedia.org/wiki/Orchid_(color) - Dark_orchid" xr:uid="{157784D2-7231-4056-9A10-7D6C88720B87}"/>
    <hyperlink ref="A243" r:id="rId251" location="Dark_pastel_green" tooltip="Shades of green" display="https://en.wikipedia.org/wiki/Shades_of_green - Dark_pastel_green" xr:uid="{FAB6130B-0257-4B8A-95D4-A36951BF0BEC}"/>
    <hyperlink ref="A244" r:id="rId252" tooltip="Dark purple" display="https://en.wikipedia.org/wiki/Dark_purple" xr:uid="{DD7890EB-6BF3-40D1-8488-09E97BF683B3}"/>
    <hyperlink ref="A245" r:id="rId253" location="Dark_red" tooltip="Maroon (color)" display="https://en.wikipedia.org/wiki/Maroon_(color) - Dark_red" xr:uid="{04CBB6A6-931A-4359-9905-2B0E7BF1C889}"/>
    <hyperlink ref="A246" r:id="rId254" location="Dark_salmon" tooltip="Salmon (color)" display="https://en.wikipedia.org/wiki/Salmon_(color) - Dark_salmon" xr:uid="{B5A79193-D23E-48FB-9128-66772E2AB43B}"/>
    <hyperlink ref="A247" r:id="rId255" location="Color_name_charts" tooltip="X11 color names" display="https://en.wikipedia.org/wiki/X11_color_names - Color_name_charts" xr:uid="{05915FF9-7F2E-490A-8337-303D94562FB4}"/>
    <hyperlink ref="A248" r:id="rId256" tooltip="Sienna" display="https://en.wikipedia.org/wiki/Sienna" xr:uid="{1ADC34A7-E454-4469-9BEC-E82C89156DD9}"/>
    <hyperlink ref="A249" r:id="rId257" location="Dark_sky_blue" tooltip="Sky blue" display="https://en.wikipedia.org/wiki/Sky_blue - Dark_sky_blue" xr:uid="{289F4966-DD6E-471C-B2DC-460D6454E26A}"/>
    <hyperlink ref="A250" r:id="rId258" location="Color_name_charts" tooltip="X11 color names" display="https://en.wikipedia.org/wiki/X11_color_names - Color_name_charts" xr:uid="{8F1A60B7-34DC-4110-A88B-FEF0242CF00F}"/>
    <hyperlink ref="A251" r:id="rId259" location="Dark_slate_gray" tooltip="Slate gray" display="https://en.wikipedia.org/wiki/Slate_gray - Dark_slate_gray" xr:uid="{DF40AED9-7F10-4547-A291-40957E7A6596}"/>
    <hyperlink ref="A252" r:id="rId260" location="Dark_spring_green" tooltip="Spring green" display="https://en.wikipedia.org/wiki/Spring_green - Dark_spring_green" xr:uid="{0F2466DE-F121-4621-9E2F-473FDB0342D7}"/>
    <hyperlink ref="A253" r:id="rId261" location="Dark_Turquoise" tooltip="Turquoise (color)" display="https://en.wikipedia.org/wiki/Turquoise_(color) - Dark_Turquoise" xr:uid="{34CE0EC9-3B37-4907-8AD3-B743B78C2164}"/>
    <hyperlink ref="A254" r:id="rId262" location="Pigment_violet_(web_color_dark_violet)" tooltip="Shades of violet" display="https://en.wikipedia.org/wiki/Shades_of_violet - Pigment_violet_(web_color_dark_violet)" xr:uid="{E98E870D-ECAA-4108-9F60-54E3F30AFCF9}"/>
    <hyperlink ref="A255" r:id="rId263" location="Dartmouth_green" tooltip="Shades of green" display="https://en.wikipedia.org/wiki/Shades_of_green - Dartmouth_green" xr:uid="{075E3D42-1A91-4065-AD8A-9DDDEC48A7F6}"/>
    <hyperlink ref="A256" r:id="rId264" tooltip="Davy's grey" display="https://en.wikipedia.org/wiki/Davy%27s_grey" xr:uid="{2C95BD71-EA3C-437F-A6BF-2EC9014397A4}"/>
    <hyperlink ref="A257" r:id="rId265" location="Deep_cerise" tooltip="Cerise (color)" display="https://en.wikipedia.org/wiki/Cerise_(color) - Deep_cerise" xr:uid="{CDE7007E-177F-4ECD-8A2D-EB739D59582A}"/>
    <hyperlink ref="A258" r:id="rId266" location="Deep_champagne" tooltip="Champagne (color)" display="https://en.wikipedia.org/wiki/Champagne_(color) - Deep_champagne" xr:uid="{4CFFE33F-D4BC-484D-8ECC-52106FEAFF5A}"/>
    <hyperlink ref="A259" r:id="rId267" location="Deep_chestnut" tooltip="Chestnut (color)" display="https://en.wikipedia.org/wiki/Chestnut_(color) - Deep_chestnut" xr:uid="{28B05075-9DA7-4E9E-A22B-18E2C89D30F3}"/>
    <hyperlink ref="A260" r:id="rId268" location="Deep_jungle_green" tooltip="Jungle green" display="https://en.wikipedia.org/wiki/Jungle_green - Deep_jungle_green" xr:uid="{3A39152E-031F-4569-B896-3947112BCDC7}"/>
    <hyperlink ref="A261" r:id="rId269" location="Deep_pink" tooltip="Shades of pink" display="https://en.wikipedia.org/wiki/Shades_of_pink - Deep_pink" xr:uid="{AD210A44-AD3D-46EB-AEBA-86DC882AA79A}"/>
    <hyperlink ref="A262" r:id="rId270" location="India_saffron_or_deep_saffron" tooltip="Saffron (color)" display="https://en.wikipedia.org/wiki/Saffron_(color) - India_saffron_or_deep_saffron" xr:uid="{DC22D3EA-3FF2-4121-86BB-251FEFA27FDF}"/>
    <hyperlink ref="A263" r:id="rId271" location="Deep_sky_blue" tooltip="Sky blue" display="https://en.wikipedia.org/wiki/Sky_blue - Deep_sky_blue" xr:uid="{4C71690B-284C-4128-95D2-1595DB48E6CF}"/>
    <hyperlink ref="A264" r:id="rId272" location="Metallic_FX" tooltip="List of Crayola crayon colors" display="https://en.wikipedia.org/wiki/List_of_Crayola_crayon_colors - Metallic_FX" xr:uid="{50673922-AE69-4C12-B7C4-6EACFEA1D032}"/>
    <hyperlink ref="A265" r:id="rId273" location="Deep_taupe" tooltip="Taupe" display="https://en.wikipedia.org/wiki/Taupe - Deep_taupe" xr:uid="{0F087FE6-FE86-4026-84CB-50C2AF48AD8D}"/>
    <hyperlink ref="A266" r:id="rId274" location="Standard_colors" tooltip="List of Crayola crayon colors" display="https://en.wikipedia.org/wiki/List_of_Crayola_crayon_colors - Standard_colors" xr:uid="{DE9986BD-6000-41CB-96B1-5F7A21D32650}"/>
    <hyperlink ref="A267" r:id="rId275" location="Heads_'n_Tails" tooltip="List of Crayola crayon colors" display="https://en.wikipedia.org/wiki/List_of_Crayola_crayon_colors - Heads_'n_Tails" xr:uid="{D70E8194-0BAF-4630-AFED-CB47E47CCF91}"/>
    <hyperlink ref="A268" r:id="rId276" location="Desert" tooltip="Desert sand (color)" display="https://en.wikipedia.org/wiki/Desert_sand_(color) - Desert" xr:uid="{D6EF73E7-5415-4C71-A8A3-0D86313F25F6}"/>
    <hyperlink ref="A269" r:id="rId277" tooltip="Desert sand (color)" display="https://en.wikipedia.org/wiki/Desert_sand_(color)" xr:uid="{1394B178-0F72-44D6-836C-AC0E89C303CC}"/>
    <hyperlink ref="A270" r:id="rId278" location="Web_colors" tooltip="Grey" display="https://en.wikipedia.org/wiki/Grey - Web_colors" xr:uid="{DDC531D8-274F-4DA1-81AB-DE3E15F7DA95}"/>
    <hyperlink ref="A271" r:id="rId279" tooltip="Dodger blue" display="https://en.wikipedia.org/wiki/Dodger_blue" xr:uid="{F3FFFB87-6536-4A1C-B50B-874446DC8C5A}"/>
    <hyperlink ref="A272" r:id="rId280" location="Dogwood_rose" tooltip="Rose (color)" display="https://en.wikipedia.org/wiki/Rose_(color) - Dogwood_rose" xr:uid="{E0DF9755-3E3C-410D-A779-C6723EDCA3DE}"/>
    <hyperlink ref="A273" r:id="rId281" location="Sand_dune_(Drab)" tooltip="Desert sand (color)" display="https://en.wikipedia.org/wiki/Desert_sand_(color) - Sand_dune_(Drab)" xr:uid="{B9AA2E87-51AD-47FC-B946-FB6E23955A4C}"/>
    <hyperlink ref="A274" r:id="rId282" tooltip="Duke blue" display="https://en.wikipedia.org/wiki/Duke_blue" xr:uid="{4E054708-7125-47E5-9860-B61E06A63131}"/>
    <hyperlink ref="A275" r:id="rId283" location="Dutch_white" tooltip="Shades of white" display="https://en.wikipedia.org/wiki/Shades_of_white - Dutch_white" xr:uid="{2816C845-F0C3-4D79-A952-0851747FB24B}"/>
    <hyperlink ref="A276" r:id="rId284" location="Earth_yellow" tooltip="Desert sand (color)" display="https://en.wikipedia.org/wiki/Desert_sand_(color) - Earth_yellow" xr:uid="{51A74E20-BF13-4E82-AA97-E6242F002560}"/>
    <hyperlink ref="A277" r:id="rId285" location="Ebony" tooltip="Shades of black (colors)" display="https://en.wikipedia.org/wiki/Shades_of_black_(colors) - Ebony" xr:uid="{D9DBA8FE-4AFF-4123-93B9-0014EB4AFE42}"/>
    <hyperlink ref="A278" r:id="rId286" tooltip="Ecru" display="https://en.wikipedia.org/wiki/Ecru" xr:uid="{A03E645A-532E-4AF5-9584-485E2BBED4EB}"/>
    <hyperlink ref="A279" r:id="rId287" location="Eerie_black" tooltip="Shades of black" display="https://en.wikipedia.org/wiki/Shades_of_black - Eerie_black" xr:uid="{2E3A2529-A1FA-48D0-8C0D-C02E1DC68ACF}"/>
    <hyperlink ref="A280" r:id="rId288" tooltip="Eggplant (color)" display="https://en.wikipedia.org/wiki/Eggplant_(color)" xr:uid="{0F16C08B-0A17-4E82-9C0B-9F0FD2EEB365}"/>
    <hyperlink ref="A281" r:id="rId289" tooltip="Eggshell (color)" display="https://en.wikipedia.org/wiki/Eggshell_(color)" xr:uid="{2F681B1B-350C-4712-8CF3-19D688F47442}"/>
    <hyperlink ref="A282" r:id="rId290" tooltip="Egyptian blue" display="https://en.wikipedia.org/wiki/Egyptian_blue" xr:uid="{DC9E3457-9AF2-4BC2-9EAE-F6E539112331}"/>
    <hyperlink ref="A283" r:id="rId291" tooltip="Eigengrau" display="https://en.wikipedia.org/wiki/Eigengrau" xr:uid="{1BA57A03-3158-4A5D-8A0E-B74B2D106D05}"/>
    <hyperlink ref="A284" r:id="rId292" tooltip="Electric blue (color)" display="https://en.wikipedia.org/wiki/Electric_blue_(color)" xr:uid="{459CCD61-411B-4B2E-95E3-BDD44301070B}"/>
    <hyperlink ref="A285" r:id="rId293" tooltip="Electric green" display="https://en.wikipedia.org/wiki/Electric_green" xr:uid="{27297F5E-4749-4517-A4A6-D83C8BF0B236}"/>
    <hyperlink ref="A286" r:id="rId294" location="Electric_indigo" tooltip="Indigo" display="https://en.wikipedia.org/wiki/Indigo - Electric_indigo" xr:uid="{BCB77A35-C39C-4E2F-B879-04BCF9340E7C}"/>
    <hyperlink ref="A287" r:id="rId295" location="Electric_lime" tooltip="Lime (color)" display="https://en.wikipedia.org/wiki/Lime_(color) - Electric_lime" xr:uid="{01BD177A-16D0-46B1-A879-EEA99F3313A0}"/>
    <hyperlink ref="A288" r:id="rId296" location="Electric_purple:_2000s" tooltip="Shades of purple" display="https://en.wikipedia.org/wiki/Shades_of_purple - Electric_purple:_2000s" xr:uid="{A21C1980-EEE1-4BD4-A0F8-98289000F99F}"/>
    <hyperlink ref="A289" r:id="rId297" location="Electric_violet" tooltip="Shades of violet" display="https://en.wikipedia.org/wiki/Shades_of_violet - Electric_violet" xr:uid="{7C8AB093-CC98-4139-98C4-12BC248612AC}"/>
    <hyperlink ref="A290" r:id="rId298" location="Emerald" tooltip="Shades of green" display="https://en.wikipedia.org/wiki/Shades_of_green - Emerald" xr:uid="{B6C4CC12-1B54-4FCC-B0E7-9642B7C97304}"/>
    <hyperlink ref="A291" r:id="rId299" location="Eminence" tooltip="Shades of purple" display="https://en.wikipedia.org/wiki/Shades_of_purple - Eminence" xr:uid="{05FA0165-197B-49BC-A830-D9A2CB0AC9C1}"/>
    <hyperlink ref="A292" r:id="rId300" location="Brunswick_green" tooltip="Shades of green" display="https://en.wikipedia.org/wiki/Shades_of_green - Brunswick_green" xr:uid="{20D1713C-A4A5-457F-8D07-2DE3811AF1F2}"/>
    <hyperlink ref="A293" r:id="rId301" location="English_lavender" tooltip="Lavender (color)" display="https://en.wikipedia.org/wiki/Lavender_(color) - English_lavender" xr:uid="{B58E78EB-DAD2-4A28-B3A3-854CDCFE711A}"/>
    <hyperlink ref="A294" r:id="rId302" location="English_red" tooltip="Indian red (color)" display="https://en.wikipedia.org/wiki/Indian_red_(color) - English_red" xr:uid="{9093EDD9-472B-491F-9396-BD81275A60AA}"/>
    <hyperlink ref="A295" r:id="rId303" tooltip="List of Crayola crayon colors" display="https://en.wikipedia.org/wiki/List_of_Crayola_crayon_colors" xr:uid="{BB3E3C11-B41C-44A3-8E3B-CC79C1E39F35}"/>
    <hyperlink ref="A296" r:id="rId304" location="English_violet" tooltip="Shades of violet" display="https://en.wikipedia.org/wiki/Shades_of_violet - English_violet" xr:uid="{2D4EA0F0-C8AD-4198-AD77-F6621703CE04}"/>
    <hyperlink ref="A297" r:id="rId305" tooltip="Erin (color)" display="https://en.wikipedia.org/wiki/Erin_(color)" xr:uid="{346BB565-2848-4770-B15E-E20D3DD2F120}"/>
    <hyperlink ref="A298" r:id="rId306" location="Eton_blue" tooltip="Eton blue" display="https://en.wikipedia.org/wiki/Eton_blue - Eton_blue" xr:uid="{1C2A8F2F-3DE5-486F-A995-EF3F48EA3D84}"/>
    <hyperlink ref="A299" r:id="rId307" tooltip="Fallow (color)" display="https://en.wikipedia.org/wiki/Fallow_(color)" xr:uid="{F0BD301D-5209-47B2-929C-55108A866305}"/>
    <hyperlink ref="A300" r:id="rId308" tooltip="Falu red" display="https://en.wikipedia.org/wiki/Falu_red" xr:uid="{C2366F5D-287D-474A-877E-5FC51EF78DA6}"/>
    <hyperlink ref="A301" r:id="rId309" location="Fandango" tooltip="Fuchsia (color)" display="https://en.wikipedia.org/wiki/Fuchsia_(color) - Fandango" xr:uid="{9E1D32E9-9B09-4D62-8E5A-F6D026A05A8C}"/>
    <hyperlink ref="A302" r:id="rId310" location="Fandango_pink" tooltip="Shades of pink" display="https://en.wikipedia.org/wiki/Shades_of_pink - Fandango_pink" xr:uid="{ABBF499D-2506-47F1-B97A-F5391E89B74B}"/>
    <hyperlink ref="A303" r:id="rId311" location="Fashion_fuchsia" tooltip="Fuchsia (color)" display="https://en.wikipedia.org/wiki/Fuchsia_(color) - Fashion_fuchsia" xr:uid="{FCC5B80B-82F0-4860-B37A-2F4A696A38D4}"/>
    <hyperlink ref="A304" r:id="rId312" tooltip="Fawn (colour)" display="https://en.wikipedia.org/wiki/Fawn_(colour)" xr:uid="{6DB69E24-7B68-4A60-860B-3F7CDAB44317}"/>
    <hyperlink ref="A305" r:id="rId313" location="Feldgrau" tooltip="Shades of green" display="https://en.wikipedia.org/wiki/Shades_of_green - Feldgrau" xr:uid="{0A5275F8-6704-45DE-AA6C-DBBA08845B56}"/>
    <hyperlink ref="A306" r:id="rId314" location="Fern_green" tooltip="Shades of green" display="https://en.wikipedia.org/wiki/Shades_of_green - Fern_green" xr:uid="{3C679CA8-C427-4888-9BC5-4F4C612ABA8A}"/>
    <hyperlink ref="A307" r:id="rId315" location="Field_drab" tooltip="Desert sand (color)" display="https://en.wikipedia.org/wiki/Desert_sand_(color) - Field_drab" xr:uid="{633E95F2-B710-4946-98A4-01C5336E52C4}"/>
    <hyperlink ref="A308" r:id="rId316" location="Extreme_Twistables_colors" tooltip="List of Crayola crayon colors" display="https://en.wikipedia.org/wiki/List_of_Crayola_crayon_colors - Extreme_Twistables_colors" xr:uid="{A6753EE0-DECF-4079-AF28-5DADE35967AB}"/>
    <hyperlink ref="A309" r:id="rId317" location="Color_name_charts" tooltip="X11 color names" display="https://en.wikipedia.org/wiki/X11_color_names - Color_name_charts" xr:uid="{C4781BD4-64F0-4746-BC87-AE375B49CA9D}"/>
    <hyperlink ref="A310" r:id="rId318" tooltip="Fire engine red" display="https://en.wikipedia.org/wiki/Fire_engine_red" xr:uid="{23D77654-21D6-49E5-AF9A-7754EE4EB054}"/>
    <hyperlink ref="A311" r:id="rId319" location="Fire_opal" tooltip="Shades of orange" display="https://en.wikipedia.org/wiki/Shades_of_orange - Fire_opal" xr:uid="{5EE39632-3450-4566-8203-80D739A231CD}"/>
    <hyperlink ref="A312" r:id="rId320" tooltip="Flame (color)" display="https://en.wikipedia.org/wiki/Flame_(color)" xr:uid="{A381EDE2-8572-41E1-9555-D361AD8907D8}"/>
    <hyperlink ref="A313" r:id="rId321" tooltip="Flax (color)" display="https://en.wikipedia.org/wiki/Flax_(color)" xr:uid="{E3CFF971-8418-4099-A7FB-B8D28C10F706}"/>
    <hyperlink ref="A314" r:id="rId322" location="Flirt" tooltip="Red-violet" display="https://en.wikipedia.org/wiki/Red-violet - Flirt" xr:uid="{3C9C7719-574C-40F5-9D79-64432EF03B34}"/>
    <hyperlink ref="A315" r:id="rId323" location="Floral_white" tooltip="Shades of white" display="https://en.wikipedia.org/wiki/Shades_of_white - Floral_white" xr:uid="{BC582394-0CAD-4616-8406-02387E93163D}"/>
    <hyperlink ref="A316" r:id="rId324" location="Fluorescent_blue" tooltip="Shades of blue" display="https://en.wikipedia.org/wiki/Shades_of_blue - Fluorescent_blue" xr:uid="{626C4EC2-1C2E-40C9-AF6D-E7C919439AA6}"/>
    <hyperlink ref="A317" r:id="rId325" location="Forest_Green_(Crayola)" tooltip="Shades of green" display="https://en.wikipedia.org/wiki/Shades_of_green - Forest_Green_(Crayola)" xr:uid="{A9CC18D9-682E-40D6-8C38-5448C9FFB2EE}"/>
    <hyperlink ref="A318" r:id="rId326" location="UP_forest_green" tooltip="Shades of green" display="https://en.wikipedia.org/wiki/Shades_of_green - UP_forest_green" xr:uid="{B6CC71AA-EEFB-4CB9-8B5B-E5AFEC7C30E0}"/>
    <hyperlink ref="A319" r:id="rId327" location="Forest_green" tooltip="Shades of green" display="https://en.wikipedia.org/wiki/Shades_of_green - Forest_green" xr:uid="{BF89BB5C-F5C2-47DF-8A41-389589A4317D}"/>
    <hyperlink ref="A320" r:id="rId328" location="French_beige" tooltip="Beige" display="https://en.wikipedia.org/wiki/Beige - French_beige" xr:uid="{1C8380FE-3F49-4ECF-9565-89B3798CBD5D}"/>
    <hyperlink ref="A321" r:id="rId329" location="French_bistre" tooltip="Bistre" display="https://en.wikipedia.org/wiki/Bistre - French_bistre" xr:uid="{E33FEC14-AB30-4F33-91D1-ED09B79CACC3}"/>
    <hyperlink ref="A322" r:id="rId330" location="French_blue" tooltip="Shades of azure" display="https://en.wikipedia.org/wiki/Shades_of_azure - French_blue" xr:uid="{9A37B457-EE60-43F5-BE2F-5897662E40F4}"/>
    <hyperlink ref="A323" r:id="rId331" location="French_fuchsia" tooltip="Fuchsia (color)" display="https://en.wikipedia.org/wiki/Fuchsia_(color) - French_fuchsia" xr:uid="{E1B1B65F-1E6E-41FB-A38D-E19D7DE7F676}"/>
    <hyperlink ref="A324" r:id="rId332" location="French_lilac" tooltip="Lilac (color)" display="https://en.wikipedia.org/wiki/Lilac_(color) - French_lilac" xr:uid="{265E3097-E01B-431C-86D2-E0E0AFA78FC5}"/>
    <hyperlink ref="A325" r:id="rId333" location="French_lime" tooltip="Lime (color)" display="https://en.wikipedia.org/wiki/Lime_(color) - French_lime" xr:uid="{C310C9E9-A000-4982-BADA-DC194E098BA6}"/>
    <hyperlink ref="A326" r:id="rId334" location="French_mauve_(deep_mauve)" tooltip="Mauve" display="https://en.wikipedia.org/wiki/Mauve - French_mauve_(deep_mauve)" xr:uid="{CE2018DC-D111-44B9-8D1A-9FE73DB3A626}"/>
    <hyperlink ref="A327" r:id="rId335" location="French_pink" tooltip="Shades of pink" display="https://en.wikipedia.org/wiki/Shades_of_pink - French_pink" xr:uid="{CCA98F07-BB89-494A-B520-498598473890}"/>
    <hyperlink ref="A328" r:id="rId336" location="French_raspberry" tooltip="Raspberry (color)" display="https://en.wikipedia.org/wiki/Raspberry_(color) - French_raspberry" xr:uid="{67443D68-37BE-41EA-A2A8-EC57F60CD203}"/>
    <hyperlink ref="A329" r:id="rId337" location="French_rose" tooltip="Rose (color)" display="https://en.wikipedia.org/wiki/Rose_(color) - French_rose" xr:uid="{CAC79C92-5AF1-4653-BE8F-E8672966CAAC}"/>
    <hyperlink ref="A330" r:id="rId338" location="French_sky_blue" tooltip="Sky blue" display="https://en.wikipedia.org/wiki/Sky_blue - French_sky_blue" xr:uid="{63E273BE-25AB-413C-95E5-0EDACA734EF6}"/>
    <hyperlink ref="A331" r:id="rId339" location="French_violet" tooltip="Shades of violet" display="https://en.wikipedia.org/wiki/Shades_of_violet - French_violet" xr:uid="{12843686-EE0B-4B34-A74F-FFCDA362839C}"/>
    <hyperlink ref="A332" r:id="rId340" location="Extreme_Twistables_colors" tooltip="List of Crayola crayon colors" display="https://en.wikipedia.org/wiki/List_of_Crayola_crayon_colors - Extreme_Twistables_colors" xr:uid="{52D3FAFE-8052-4C01-8265-74787B7F195D}"/>
    <hyperlink ref="A333" r:id="rId341" tooltip="Fuchsia (color)" display="https://en.wikipedia.org/wiki/Fuchsia_(color)" xr:uid="{E084B630-C4A1-4967-B864-8F117B765597}"/>
    <hyperlink ref="A334" r:id="rId342" location="Deep_fuchsia" tooltip="Fuchsia (color)" display="https://en.wikipedia.org/wiki/Fuchsia_(color) - Deep_fuchsia" xr:uid="{C872076B-9A98-4408-AF8F-509FA75B0B33}"/>
    <hyperlink ref="A335" r:id="rId343" location="Fuchsia_purple" tooltip="Fuchsia (color)" display="https://en.wikipedia.org/wiki/Fuchsia_(color) - Fuchsia_purple" xr:uid="{4B50B173-188F-482B-ACDE-F6555E093A48}"/>
    <hyperlink ref="A336" r:id="rId344" location="Fuchsia_rose" tooltip="Rose (color)" display="https://en.wikipedia.org/wiki/Rose_(color) - Fuchsia_rose" xr:uid="{F5200324-FC37-47AF-A438-6571BFD55B2E}"/>
    <hyperlink ref="A337" r:id="rId345" tooltip="Fulvous" display="https://en.wikipedia.org/wiki/Fulvous" xr:uid="{0D6F7AB2-1061-4F6E-A3E9-1A0D2EB34314}"/>
    <hyperlink ref="A338" r:id="rId346" location="Standard_colors" tooltip="List of Crayola crayon colors" display="https://en.wikipedia.org/wiki/List_of_Crayola_crayon_colors - Standard_colors" xr:uid="{FDD8D708-BFD2-4085-BD7F-EB063C55228C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F27D-A56F-430A-9177-68C09B30405D}">
  <sheetPr codeName="Sheet7"/>
  <dimension ref="A1:C120"/>
  <sheetViews>
    <sheetView workbookViewId="0"/>
  </sheetViews>
  <sheetFormatPr defaultRowHeight="16.5" x14ac:dyDescent="0.3"/>
  <cols>
    <col min="2" max="2" width="21.85546875" bestFit="1" customWidth="1"/>
    <col min="3" max="3" width="10.7109375" bestFit="1" customWidth="1"/>
  </cols>
  <sheetData>
    <row r="1" spans="1:3" x14ac:dyDescent="0.3">
      <c r="A1" s="10" t="s">
        <v>961</v>
      </c>
      <c r="B1" s="10" t="s">
        <v>113</v>
      </c>
      <c r="C1" s="11" t="s">
        <v>114</v>
      </c>
    </row>
    <row r="2" spans="1:3" x14ac:dyDescent="0.3">
      <c r="A2" s="8">
        <v>1</v>
      </c>
      <c r="B2" s="12" t="s">
        <v>477</v>
      </c>
      <c r="C2" s="9" t="s">
        <v>478</v>
      </c>
    </row>
    <row r="3" spans="1:3" x14ac:dyDescent="0.3">
      <c r="A3" s="8">
        <v>2</v>
      </c>
      <c r="B3" s="12" t="s">
        <v>453</v>
      </c>
      <c r="C3" s="9" t="s">
        <v>454</v>
      </c>
    </row>
    <row r="4" spans="1:3" x14ac:dyDescent="0.3">
      <c r="A4" s="8">
        <v>3</v>
      </c>
      <c r="B4" s="12" t="s">
        <v>853</v>
      </c>
      <c r="C4" s="9" t="s">
        <v>854</v>
      </c>
    </row>
    <row r="5" spans="1:3" x14ac:dyDescent="0.3">
      <c r="A5" s="8">
        <v>4</v>
      </c>
      <c r="B5" s="12" t="s">
        <v>287</v>
      </c>
      <c r="C5" s="9" t="s">
        <v>288</v>
      </c>
    </row>
    <row r="6" spans="1:3" x14ac:dyDescent="0.3">
      <c r="A6" s="8">
        <v>5</v>
      </c>
      <c r="B6" s="12" t="s">
        <v>656</v>
      </c>
      <c r="C6" s="9" t="s">
        <v>657</v>
      </c>
    </row>
    <row r="7" spans="1:3" x14ac:dyDescent="0.3">
      <c r="A7" s="8">
        <v>6</v>
      </c>
      <c r="B7" s="12" t="s">
        <v>455</v>
      </c>
      <c r="C7" s="9" t="s">
        <v>456</v>
      </c>
    </row>
    <row r="8" spans="1:3" x14ac:dyDescent="0.3">
      <c r="A8" s="8">
        <v>7</v>
      </c>
      <c r="B8" s="12" t="s">
        <v>231</v>
      </c>
      <c r="C8" s="9" t="s">
        <v>232</v>
      </c>
    </row>
    <row r="9" spans="1:3" x14ac:dyDescent="0.3">
      <c r="A9" s="8">
        <v>8</v>
      </c>
      <c r="B9" s="12" t="s">
        <v>711</v>
      </c>
      <c r="C9" s="9" t="s">
        <v>712</v>
      </c>
    </row>
    <row r="10" spans="1:3" x14ac:dyDescent="0.3">
      <c r="A10" s="8">
        <v>9</v>
      </c>
      <c r="B10" s="12" t="s">
        <v>694</v>
      </c>
      <c r="C10" s="9" t="s">
        <v>695</v>
      </c>
    </row>
    <row r="11" spans="1:3" x14ac:dyDescent="0.3">
      <c r="A11" s="8">
        <v>10</v>
      </c>
      <c r="B11" s="12" t="s">
        <v>633</v>
      </c>
      <c r="C11" s="9" t="s">
        <v>634</v>
      </c>
    </row>
    <row r="12" spans="1:3" x14ac:dyDescent="0.3">
      <c r="A12" s="8">
        <v>11</v>
      </c>
      <c r="B12" s="12" t="s">
        <v>683</v>
      </c>
      <c r="C12" s="9" t="s">
        <v>684</v>
      </c>
    </row>
    <row r="13" spans="1:3" x14ac:dyDescent="0.3">
      <c r="A13" s="8">
        <v>12</v>
      </c>
      <c r="B13" s="12" t="s">
        <v>917</v>
      </c>
      <c r="C13" s="9" t="s">
        <v>918</v>
      </c>
    </row>
    <row r="14" spans="1:3" x14ac:dyDescent="0.3">
      <c r="A14" s="8">
        <v>13</v>
      </c>
      <c r="B14" s="12" t="s">
        <v>800</v>
      </c>
      <c r="C14" s="9" t="s">
        <v>801</v>
      </c>
    </row>
    <row r="15" spans="1:3" x14ac:dyDescent="0.3">
      <c r="A15" s="8">
        <v>14</v>
      </c>
      <c r="B15" s="12" t="s">
        <v>715</v>
      </c>
      <c r="C15" s="9" t="s">
        <v>716</v>
      </c>
    </row>
    <row r="16" spans="1:3" x14ac:dyDescent="0.3">
      <c r="A16" s="8">
        <v>15</v>
      </c>
      <c r="B16" s="12" t="s">
        <v>871</v>
      </c>
      <c r="C16" s="9" t="s">
        <v>872</v>
      </c>
    </row>
    <row r="17" spans="1:3" x14ac:dyDescent="0.3">
      <c r="A17" s="8">
        <v>16</v>
      </c>
      <c r="B17" s="12" t="s">
        <v>753</v>
      </c>
      <c r="C17" s="9" t="s">
        <v>754</v>
      </c>
    </row>
    <row r="18" spans="1:3" x14ac:dyDescent="0.3">
      <c r="A18" s="8">
        <v>17</v>
      </c>
      <c r="B18" s="12" t="s">
        <v>390</v>
      </c>
      <c r="C18" s="9" t="s">
        <v>391</v>
      </c>
    </row>
    <row r="19" spans="1:3" x14ac:dyDescent="0.3">
      <c r="A19" s="8">
        <v>18</v>
      </c>
      <c r="B19" s="12" t="s">
        <v>451</v>
      </c>
      <c r="C19" s="9" t="s">
        <v>452</v>
      </c>
    </row>
    <row r="20" spans="1:3" x14ac:dyDescent="0.3">
      <c r="A20" s="8">
        <v>19</v>
      </c>
      <c r="B20" s="12" t="s">
        <v>448</v>
      </c>
      <c r="C20" s="9" t="s">
        <v>449</v>
      </c>
    </row>
    <row r="21" spans="1:3" x14ac:dyDescent="0.3">
      <c r="A21" s="8">
        <v>20</v>
      </c>
      <c r="B21" s="12" t="s">
        <v>474</v>
      </c>
      <c r="C21" s="9" t="s">
        <v>475</v>
      </c>
    </row>
    <row r="22" spans="1:3" x14ac:dyDescent="0.3">
      <c r="A22" s="8">
        <v>21</v>
      </c>
      <c r="B22" s="12" t="s">
        <v>187</v>
      </c>
      <c r="C22" s="9" t="s">
        <v>188</v>
      </c>
    </row>
    <row r="23" spans="1:3" x14ac:dyDescent="0.3">
      <c r="A23" s="8">
        <v>22</v>
      </c>
      <c r="B23" s="12" t="s">
        <v>314</v>
      </c>
      <c r="C23" s="9" t="s">
        <v>315</v>
      </c>
    </row>
    <row r="24" spans="1:3" x14ac:dyDescent="0.3">
      <c r="A24" s="8">
        <v>23</v>
      </c>
      <c r="B24" s="12" t="s">
        <v>697</v>
      </c>
      <c r="C24" s="9" t="s">
        <v>698</v>
      </c>
    </row>
    <row r="25" spans="1:3" x14ac:dyDescent="0.3">
      <c r="A25" s="8">
        <v>24</v>
      </c>
      <c r="B25" s="12" t="s">
        <v>125</v>
      </c>
      <c r="C25" s="9" t="s">
        <v>126</v>
      </c>
    </row>
    <row r="26" spans="1:3" x14ac:dyDescent="0.3">
      <c r="A26" s="8">
        <v>25</v>
      </c>
      <c r="B26" s="12" t="s">
        <v>323</v>
      </c>
      <c r="C26" s="9" t="s">
        <v>324</v>
      </c>
    </row>
    <row r="27" spans="1:3" x14ac:dyDescent="0.3">
      <c r="A27" s="8">
        <v>26</v>
      </c>
      <c r="B27" s="12" t="s">
        <v>627</v>
      </c>
      <c r="C27" s="9" t="s">
        <v>628</v>
      </c>
    </row>
    <row r="28" spans="1:3" x14ac:dyDescent="0.3">
      <c r="A28" s="8">
        <v>27</v>
      </c>
      <c r="B28" s="12" t="s">
        <v>883</v>
      </c>
      <c r="C28" s="9" t="s">
        <v>884</v>
      </c>
    </row>
    <row r="29" spans="1:3" x14ac:dyDescent="0.3">
      <c r="A29" s="8">
        <v>28</v>
      </c>
      <c r="B29" s="12" t="s">
        <v>561</v>
      </c>
      <c r="C29" s="9" t="s">
        <v>562</v>
      </c>
    </row>
    <row r="30" spans="1:3" x14ac:dyDescent="0.3">
      <c r="A30" s="8">
        <v>29</v>
      </c>
      <c r="B30" s="12" t="s">
        <v>909</v>
      </c>
      <c r="C30" s="9" t="s">
        <v>910</v>
      </c>
    </row>
    <row r="31" spans="1:3" x14ac:dyDescent="0.3">
      <c r="A31" s="8">
        <v>30</v>
      </c>
      <c r="B31" s="12" t="s">
        <v>184</v>
      </c>
      <c r="C31" s="9" t="s">
        <v>185</v>
      </c>
    </row>
    <row r="32" spans="1:3" x14ac:dyDescent="0.3">
      <c r="A32" s="8">
        <v>31</v>
      </c>
      <c r="B32" s="12" t="s">
        <v>860</v>
      </c>
      <c r="C32" s="9" t="s">
        <v>861</v>
      </c>
    </row>
    <row r="33" spans="1:3" x14ac:dyDescent="0.3">
      <c r="A33" s="8">
        <v>32</v>
      </c>
      <c r="B33" s="12" t="s">
        <v>446</v>
      </c>
      <c r="C33" s="9" t="s">
        <v>447</v>
      </c>
    </row>
    <row r="34" spans="1:3" x14ac:dyDescent="0.3">
      <c r="A34" s="8">
        <v>33</v>
      </c>
      <c r="B34" s="12" t="s">
        <v>672</v>
      </c>
      <c r="C34" s="9" t="s">
        <v>673</v>
      </c>
    </row>
    <row r="35" spans="1:3" x14ac:dyDescent="0.3">
      <c r="A35" s="8">
        <v>34</v>
      </c>
      <c r="B35" s="12" t="s">
        <v>428</v>
      </c>
      <c r="C35" s="9" t="s">
        <v>429</v>
      </c>
    </row>
    <row r="36" spans="1:3" x14ac:dyDescent="0.3">
      <c r="A36" s="8">
        <v>35</v>
      </c>
      <c r="B36" s="12" t="s">
        <v>637</v>
      </c>
      <c r="C36" s="9" t="s">
        <v>638</v>
      </c>
    </row>
    <row r="37" spans="1:3" x14ac:dyDescent="0.3">
      <c r="A37" s="8">
        <v>36</v>
      </c>
      <c r="B37" s="12" t="s">
        <v>819</v>
      </c>
      <c r="C37" s="9" t="s">
        <v>820</v>
      </c>
    </row>
    <row r="38" spans="1:3" x14ac:dyDescent="0.3">
      <c r="A38" s="8">
        <v>37</v>
      </c>
      <c r="B38" s="12" t="s">
        <v>514</v>
      </c>
      <c r="C38" s="9" t="s">
        <v>515</v>
      </c>
    </row>
    <row r="39" spans="1:3" x14ac:dyDescent="0.3">
      <c r="A39" s="8">
        <v>38</v>
      </c>
      <c r="B39" s="12" t="s">
        <v>830</v>
      </c>
      <c r="C39" s="9" t="s">
        <v>831</v>
      </c>
    </row>
    <row r="40" spans="1:3" x14ac:dyDescent="0.3">
      <c r="A40" s="8">
        <v>39</v>
      </c>
      <c r="B40" s="12" t="s">
        <v>285</v>
      </c>
      <c r="C40" s="9" t="s">
        <v>286</v>
      </c>
    </row>
    <row r="41" spans="1:3" x14ac:dyDescent="0.3">
      <c r="A41" s="8">
        <v>40</v>
      </c>
      <c r="B41" s="12" t="s">
        <v>583</v>
      </c>
      <c r="C41" s="9" t="s">
        <v>584</v>
      </c>
    </row>
    <row r="42" spans="1:3" x14ac:dyDescent="0.3">
      <c r="A42" s="8">
        <v>41</v>
      </c>
      <c r="B42" s="12" t="s">
        <v>357</v>
      </c>
      <c r="C42" s="9" t="s">
        <v>358</v>
      </c>
    </row>
    <row r="43" spans="1:3" x14ac:dyDescent="0.3">
      <c r="A43" s="8">
        <v>42</v>
      </c>
      <c r="B43" s="12" t="s">
        <v>702</v>
      </c>
      <c r="C43" s="9" t="s">
        <v>703</v>
      </c>
    </row>
    <row r="44" spans="1:3" x14ac:dyDescent="0.3">
      <c r="A44" s="8">
        <v>43</v>
      </c>
      <c r="B44" s="12" t="s">
        <v>609</v>
      </c>
      <c r="C44" s="9" t="s">
        <v>610</v>
      </c>
    </row>
    <row r="45" spans="1:3" x14ac:dyDescent="0.3">
      <c r="A45" s="8">
        <v>44</v>
      </c>
      <c r="B45" s="12" t="s">
        <v>423</v>
      </c>
      <c r="C45" s="9" t="s">
        <v>424</v>
      </c>
    </row>
    <row r="46" spans="1:3" x14ac:dyDescent="0.3">
      <c r="A46" s="8">
        <v>45</v>
      </c>
      <c r="B46" s="12" t="s">
        <v>612</v>
      </c>
      <c r="C46" s="9" t="s">
        <v>613</v>
      </c>
    </row>
    <row r="47" spans="1:3" x14ac:dyDescent="0.3">
      <c r="A47" s="8">
        <v>46</v>
      </c>
      <c r="B47" s="12" t="s">
        <v>155</v>
      </c>
      <c r="C47" s="9" t="s">
        <v>156</v>
      </c>
    </row>
    <row r="48" spans="1:3" x14ac:dyDescent="0.3">
      <c r="A48" s="8">
        <v>47</v>
      </c>
      <c r="B48" s="12" t="s">
        <v>914</v>
      </c>
      <c r="C48" s="9" t="s">
        <v>915</v>
      </c>
    </row>
    <row r="49" spans="1:3" x14ac:dyDescent="0.3">
      <c r="A49" s="8">
        <v>48</v>
      </c>
      <c r="B49" s="12" t="s">
        <v>717</v>
      </c>
      <c r="C49" s="9" t="s">
        <v>718</v>
      </c>
    </row>
    <row r="50" spans="1:3" x14ac:dyDescent="0.3">
      <c r="A50" s="8">
        <v>49</v>
      </c>
      <c r="B50" s="12" t="s">
        <v>916</v>
      </c>
      <c r="C50" s="9" t="s">
        <v>475</v>
      </c>
    </row>
    <row r="51" spans="1:3" x14ac:dyDescent="0.3">
      <c r="A51" s="8">
        <v>50</v>
      </c>
      <c r="B51" s="12" t="s">
        <v>890</v>
      </c>
      <c r="C51" s="9" t="s">
        <v>891</v>
      </c>
    </row>
    <row r="52" spans="1:3" x14ac:dyDescent="0.3">
      <c r="A52" s="8">
        <v>51</v>
      </c>
      <c r="B52" s="12" t="s">
        <v>310</v>
      </c>
      <c r="C52" s="9" t="s">
        <v>311</v>
      </c>
    </row>
    <row r="53" spans="1:3" x14ac:dyDescent="0.3">
      <c r="A53" s="8">
        <v>52</v>
      </c>
      <c r="B53" s="12" t="s">
        <v>624</v>
      </c>
      <c r="C53" s="9" t="s">
        <v>625</v>
      </c>
    </row>
    <row r="54" spans="1:3" x14ac:dyDescent="0.3">
      <c r="A54" s="8">
        <v>53</v>
      </c>
      <c r="B54" s="12" t="s">
        <v>216</v>
      </c>
      <c r="C54" s="9" t="s">
        <v>217</v>
      </c>
    </row>
    <row r="55" spans="1:3" x14ac:dyDescent="0.3">
      <c r="A55" s="8">
        <v>54</v>
      </c>
      <c r="B55" s="12" t="s">
        <v>499</v>
      </c>
      <c r="C55" s="9" t="s">
        <v>500</v>
      </c>
    </row>
    <row r="56" spans="1:3" x14ac:dyDescent="0.3">
      <c r="A56" s="8">
        <v>55</v>
      </c>
      <c r="B56" s="12" t="s">
        <v>807</v>
      </c>
      <c r="C56" s="9" t="s">
        <v>288</v>
      </c>
    </row>
    <row r="57" spans="1:3" x14ac:dyDescent="0.3">
      <c r="A57" s="8">
        <v>56</v>
      </c>
      <c r="B57" s="12" t="s">
        <v>814</v>
      </c>
      <c r="C57" s="9" t="s">
        <v>815</v>
      </c>
    </row>
    <row r="58" spans="1:3" x14ac:dyDescent="0.3">
      <c r="A58" s="8">
        <v>57</v>
      </c>
      <c r="B58" s="12" t="s">
        <v>581</v>
      </c>
      <c r="C58" s="9" t="s">
        <v>582</v>
      </c>
    </row>
    <row r="59" spans="1:3" x14ac:dyDescent="0.3">
      <c r="A59" s="8">
        <v>58</v>
      </c>
      <c r="B59" s="12" t="s">
        <v>827</v>
      </c>
      <c r="C59" s="9" t="s">
        <v>828</v>
      </c>
    </row>
    <row r="60" spans="1:3" x14ac:dyDescent="0.3">
      <c r="A60" s="8">
        <v>59</v>
      </c>
      <c r="B60" s="12" t="s">
        <v>161</v>
      </c>
      <c r="C60" s="9" t="s">
        <v>162</v>
      </c>
    </row>
    <row r="61" spans="1:3" x14ac:dyDescent="0.3">
      <c r="A61" s="8">
        <v>60</v>
      </c>
      <c r="B61" s="12" t="s">
        <v>213</v>
      </c>
      <c r="C61" s="9" t="s">
        <v>214</v>
      </c>
    </row>
    <row r="62" spans="1:3" x14ac:dyDescent="0.3">
      <c r="A62" s="8">
        <v>61</v>
      </c>
      <c r="B62" s="12" t="s">
        <v>713</v>
      </c>
      <c r="C62" s="9" t="s">
        <v>714</v>
      </c>
    </row>
    <row r="63" spans="1:3" x14ac:dyDescent="0.3">
      <c r="A63" s="8">
        <v>62</v>
      </c>
      <c r="B63" s="12" t="s">
        <v>523</v>
      </c>
      <c r="C63" s="9" t="s">
        <v>524</v>
      </c>
    </row>
    <row r="64" spans="1:3" x14ac:dyDescent="0.3">
      <c r="A64" s="8">
        <v>63</v>
      </c>
      <c r="B64" s="12" t="s">
        <v>692</v>
      </c>
      <c r="C64" s="9" t="s">
        <v>693</v>
      </c>
    </row>
    <row r="65" spans="1:3" x14ac:dyDescent="0.3">
      <c r="A65" s="8">
        <v>64</v>
      </c>
      <c r="B65" s="12" t="s">
        <v>855</v>
      </c>
      <c r="C65" s="9" t="s">
        <v>856</v>
      </c>
    </row>
    <row r="66" spans="1:3" x14ac:dyDescent="0.3">
      <c r="A66" s="8">
        <v>65</v>
      </c>
      <c r="B66" s="12" t="s">
        <v>787</v>
      </c>
      <c r="C66" s="9" t="s">
        <v>788</v>
      </c>
    </row>
    <row r="67" spans="1:3" x14ac:dyDescent="0.3">
      <c r="A67" s="8">
        <v>66</v>
      </c>
      <c r="B67" s="12" t="s">
        <v>272</v>
      </c>
      <c r="C67" s="9" t="s">
        <v>273</v>
      </c>
    </row>
    <row r="68" spans="1:3" x14ac:dyDescent="0.3">
      <c r="A68" s="8">
        <v>67</v>
      </c>
      <c r="B68" s="12" t="s">
        <v>167</v>
      </c>
      <c r="C68" s="9" t="s">
        <v>168</v>
      </c>
    </row>
    <row r="69" spans="1:3" x14ac:dyDescent="0.3">
      <c r="A69" s="8">
        <v>68</v>
      </c>
      <c r="B69" s="12" t="s">
        <v>756</v>
      </c>
      <c r="C69" s="9" t="s">
        <v>757</v>
      </c>
    </row>
    <row r="70" spans="1:3" x14ac:dyDescent="0.3">
      <c r="A70" s="8">
        <v>69</v>
      </c>
      <c r="B70" s="12" t="s">
        <v>461</v>
      </c>
      <c r="C70" s="9" t="s">
        <v>462</v>
      </c>
    </row>
    <row r="71" spans="1:3" x14ac:dyDescent="0.3">
      <c r="A71" s="8">
        <v>70</v>
      </c>
      <c r="B71" s="12" t="s">
        <v>821</v>
      </c>
      <c r="C71" s="9" t="s">
        <v>822</v>
      </c>
    </row>
    <row r="72" spans="1:3" x14ac:dyDescent="0.3">
      <c r="A72" s="8">
        <v>71</v>
      </c>
      <c r="B72" s="12" t="s">
        <v>720</v>
      </c>
      <c r="C72" s="9" t="s">
        <v>721</v>
      </c>
    </row>
    <row r="73" spans="1:3" x14ac:dyDescent="0.3">
      <c r="A73" s="8">
        <v>72</v>
      </c>
      <c r="B73" s="12" t="s">
        <v>190</v>
      </c>
      <c r="C73" s="9" t="s">
        <v>191</v>
      </c>
    </row>
    <row r="74" spans="1:3" x14ac:dyDescent="0.3">
      <c r="A74" s="8">
        <v>73</v>
      </c>
      <c r="B74" s="12" t="s">
        <v>728</v>
      </c>
      <c r="C74" s="9" t="s">
        <v>729</v>
      </c>
    </row>
    <row r="75" spans="1:3" x14ac:dyDescent="0.3">
      <c r="A75" s="8">
        <v>74</v>
      </c>
      <c r="B75" s="12" t="s">
        <v>770</v>
      </c>
      <c r="C75" s="9" t="s">
        <v>771</v>
      </c>
    </row>
    <row r="76" spans="1:3" x14ac:dyDescent="0.3">
      <c r="A76" s="8">
        <v>75</v>
      </c>
      <c r="B76" s="12" t="s">
        <v>573</v>
      </c>
      <c r="C76" s="9" t="s">
        <v>574</v>
      </c>
    </row>
    <row r="77" spans="1:3" x14ac:dyDescent="0.3">
      <c r="A77" s="8">
        <v>76</v>
      </c>
      <c r="B77" s="12" t="s">
        <v>886</v>
      </c>
      <c r="C77" s="9" t="s">
        <v>887</v>
      </c>
    </row>
    <row r="78" spans="1:3" x14ac:dyDescent="0.3">
      <c r="A78" s="8">
        <v>77</v>
      </c>
      <c r="B78" s="12" t="s">
        <v>758</v>
      </c>
      <c r="C78" s="9" t="s">
        <v>759</v>
      </c>
    </row>
    <row r="79" spans="1:3" x14ac:dyDescent="0.3">
      <c r="A79" s="8">
        <v>78</v>
      </c>
      <c r="B79" s="12" t="s">
        <v>276</v>
      </c>
      <c r="C79" s="9" t="s">
        <v>277</v>
      </c>
    </row>
    <row r="80" spans="1:3" x14ac:dyDescent="0.3">
      <c r="A80" s="8">
        <v>79</v>
      </c>
      <c r="B80" s="12" t="s">
        <v>596</v>
      </c>
      <c r="C80" s="9" t="s">
        <v>597</v>
      </c>
    </row>
    <row r="81" spans="1:3" x14ac:dyDescent="0.3">
      <c r="A81" s="8">
        <v>80</v>
      </c>
      <c r="B81" s="12" t="s">
        <v>849</v>
      </c>
      <c r="C81" s="9" t="s">
        <v>850</v>
      </c>
    </row>
    <row r="82" spans="1:3" x14ac:dyDescent="0.3">
      <c r="A82" s="8">
        <v>81</v>
      </c>
      <c r="B82" s="12" t="s">
        <v>739</v>
      </c>
      <c r="C82" s="9" t="s">
        <v>740</v>
      </c>
    </row>
    <row r="83" spans="1:3" x14ac:dyDescent="0.3">
      <c r="A83" s="8">
        <v>82</v>
      </c>
      <c r="B83" s="12" t="s">
        <v>375</v>
      </c>
      <c r="C83" s="9" t="s">
        <v>376</v>
      </c>
    </row>
    <row r="84" spans="1:3" x14ac:dyDescent="0.3">
      <c r="A84" s="8">
        <v>83</v>
      </c>
      <c r="B84" s="12" t="s">
        <v>268</v>
      </c>
      <c r="C84" s="9" t="s">
        <v>269</v>
      </c>
    </row>
    <row r="85" spans="1:3" x14ac:dyDescent="0.3">
      <c r="A85" s="8">
        <v>84</v>
      </c>
      <c r="B85" s="12" t="s">
        <v>222</v>
      </c>
      <c r="C85" s="9" t="s">
        <v>223</v>
      </c>
    </row>
    <row r="86" spans="1:3" x14ac:dyDescent="0.3">
      <c r="A86" s="8">
        <v>85</v>
      </c>
      <c r="B86" s="12" t="s">
        <v>533</v>
      </c>
      <c r="C86" s="9" t="s">
        <v>534</v>
      </c>
    </row>
    <row r="87" spans="1:3" x14ac:dyDescent="0.3">
      <c r="A87" s="8">
        <v>86</v>
      </c>
      <c r="B87" s="12" t="s">
        <v>600</v>
      </c>
      <c r="C87" s="9" t="s">
        <v>601</v>
      </c>
    </row>
    <row r="88" spans="1:3" x14ac:dyDescent="0.3">
      <c r="A88" s="8">
        <v>87</v>
      </c>
      <c r="B88" s="12" t="s">
        <v>852</v>
      </c>
      <c r="C88" s="9" t="s">
        <v>426</v>
      </c>
    </row>
    <row r="89" spans="1:3" x14ac:dyDescent="0.3">
      <c r="A89" s="8">
        <v>88</v>
      </c>
      <c r="B89" s="12" t="s">
        <v>437</v>
      </c>
      <c r="C89" s="9" t="s">
        <v>438</v>
      </c>
    </row>
    <row r="90" spans="1:3" x14ac:dyDescent="0.3">
      <c r="A90" s="8">
        <v>89</v>
      </c>
      <c r="B90" s="12" t="s">
        <v>312</v>
      </c>
      <c r="C90" s="9" t="s">
        <v>313</v>
      </c>
    </row>
    <row r="91" spans="1:3" x14ac:dyDescent="0.3">
      <c r="A91" s="8">
        <v>90</v>
      </c>
      <c r="B91" s="12" t="s">
        <v>617</v>
      </c>
      <c r="C91" s="9" t="s">
        <v>618</v>
      </c>
    </row>
    <row r="92" spans="1:3" x14ac:dyDescent="0.3">
      <c r="A92" s="8">
        <v>91</v>
      </c>
      <c r="B92" s="12" t="s">
        <v>307</v>
      </c>
      <c r="C92" s="9" t="s">
        <v>308</v>
      </c>
    </row>
    <row r="93" spans="1:3" x14ac:dyDescent="0.3">
      <c r="A93" s="8">
        <v>92</v>
      </c>
      <c r="B93" s="12" t="s">
        <v>317</v>
      </c>
      <c r="C93" s="9" t="s">
        <v>318</v>
      </c>
    </row>
    <row r="94" spans="1:3" x14ac:dyDescent="0.3">
      <c r="A94" s="8">
        <v>93</v>
      </c>
      <c r="B94" s="12" t="s">
        <v>880</v>
      </c>
      <c r="C94" s="9" t="s">
        <v>881</v>
      </c>
    </row>
    <row r="95" spans="1:3" x14ac:dyDescent="0.3">
      <c r="A95" s="8">
        <v>94</v>
      </c>
      <c r="B95" s="12" t="s">
        <v>373</v>
      </c>
      <c r="C95" s="9" t="s">
        <v>374</v>
      </c>
    </row>
    <row r="96" spans="1:3" x14ac:dyDescent="0.3">
      <c r="A96" s="8">
        <v>95</v>
      </c>
      <c r="B96" s="12" t="s">
        <v>559</v>
      </c>
      <c r="C96" s="9" t="s">
        <v>560</v>
      </c>
    </row>
    <row r="97" spans="1:3" x14ac:dyDescent="0.3">
      <c r="A97" s="8">
        <v>96</v>
      </c>
      <c r="B97" s="12" t="s">
        <v>791</v>
      </c>
      <c r="C97" s="9" t="s">
        <v>792</v>
      </c>
    </row>
    <row r="98" spans="1:3" x14ac:dyDescent="0.3">
      <c r="A98" s="8">
        <v>97</v>
      </c>
      <c r="B98" s="12" t="s">
        <v>298</v>
      </c>
      <c r="C98" s="9" t="s">
        <v>299</v>
      </c>
    </row>
    <row r="99" spans="1:3" x14ac:dyDescent="0.3">
      <c r="A99" s="8">
        <v>98</v>
      </c>
      <c r="B99" s="12" t="s">
        <v>776</v>
      </c>
      <c r="C99" s="9" t="s">
        <v>777</v>
      </c>
    </row>
    <row r="100" spans="1:3" x14ac:dyDescent="0.3">
      <c r="A100" s="8">
        <v>99</v>
      </c>
      <c r="B100" s="12" t="s">
        <v>348</v>
      </c>
      <c r="C100" s="9" t="s">
        <v>349</v>
      </c>
    </row>
    <row r="101" spans="1:3" x14ac:dyDescent="0.3">
      <c r="A101" s="8">
        <v>100</v>
      </c>
      <c r="B101" s="12" t="s">
        <v>661</v>
      </c>
      <c r="C101" s="9" t="s">
        <v>662</v>
      </c>
    </row>
    <row r="102" spans="1:3" x14ac:dyDescent="0.3">
      <c r="A102" s="8">
        <v>101</v>
      </c>
      <c r="B102" s="12" t="s">
        <v>794</v>
      </c>
      <c r="C102" s="9" t="s">
        <v>795</v>
      </c>
    </row>
    <row r="103" spans="1:3" x14ac:dyDescent="0.3">
      <c r="A103" s="8">
        <v>102</v>
      </c>
      <c r="B103" s="12" t="s">
        <v>225</v>
      </c>
      <c r="C103" s="9" t="s">
        <v>226</v>
      </c>
    </row>
    <row r="104" spans="1:3" x14ac:dyDescent="0.3">
      <c r="A104" s="8">
        <v>103</v>
      </c>
      <c r="B104" s="12" t="s">
        <v>646</v>
      </c>
      <c r="C104" s="9" t="s">
        <v>647</v>
      </c>
    </row>
    <row r="105" spans="1:3" x14ac:dyDescent="0.3">
      <c r="A105" s="8">
        <v>104</v>
      </c>
      <c r="B105" s="12" t="s">
        <v>370</v>
      </c>
      <c r="C105" s="9" t="s">
        <v>371</v>
      </c>
    </row>
    <row r="106" spans="1:3" x14ac:dyDescent="0.3">
      <c r="A106" s="8">
        <v>105</v>
      </c>
      <c r="B106" s="12" t="s">
        <v>789</v>
      </c>
      <c r="C106" s="9" t="s">
        <v>790</v>
      </c>
    </row>
    <row r="107" spans="1:3" x14ac:dyDescent="0.3">
      <c r="A107" s="8">
        <v>106</v>
      </c>
      <c r="B107" s="12" t="s">
        <v>749</v>
      </c>
      <c r="C107" s="9" t="s">
        <v>750</v>
      </c>
    </row>
    <row r="108" spans="1:3" x14ac:dyDescent="0.3">
      <c r="A108" s="8">
        <v>107</v>
      </c>
      <c r="B108" s="12" t="s">
        <v>279</v>
      </c>
      <c r="C108" s="9" t="s">
        <v>280</v>
      </c>
    </row>
    <row r="109" spans="1:3" x14ac:dyDescent="0.3">
      <c r="A109" s="8">
        <v>108</v>
      </c>
      <c r="B109" s="12" t="s">
        <v>544</v>
      </c>
      <c r="C109" s="9" t="s">
        <v>545</v>
      </c>
    </row>
    <row r="110" spans="1:3" x14ac:dyDescent="0.3">
      <c r="A110" s="8">
        <v>109</v>
      </c>
      <c r="B110" s="12" t="s">
        <v>924</v>
      </c>
      <c r="C110" s="9" t="s">
        <v>925</v>
      </c>
    </row>
    <row r="111" spans="1:3" x14ac:dyDescent="0.3">
      <c r="A111" s="8">
        <v>110</v>
      </c>
      <c r="B111" s="12" t="s">
        <v>747</v>
      </c>
      <c r="C111" s="9" t="s">
        <v>748</v>
      </c>
    </row>
    <row r="112" spans="1:3" x14ac:dyDescent="0.3">
      <c r="A112" s="8">
        <v>111</v>
      </c>
      <c r="B112" s="12" t="s">
        <v>650</v>
      </c>
      <c r="C112" s="9" t="s">
        <v>515</v>
      </c>
    </row>
    <row r="113" spans="1:3" x14ac:dyDescent="0.3">
      <c r="A113" s="8">
        <v>112</v>
      </c>
      <c r="B113" s="12" t="s">
        <v>869</v>
      </c>
      <c r="C113" s="9" t="s">
        <v>870</v>
      </c>
    </row>
    <row r="114" spans="1:3" x14ac:dyDescent="0.3">
      <c r="A114" s="8">
        <v>113</v>
      </c>
      <c r="B114" s="12" t="s">
        <v>425</v>
      </c>
      <c r="C114" s="9" t="s">
        <v>426</v>
      </c>
    </row>
    <row r="115" spans="1:3" x14ac:dyDescent="0.3">
      <c r="A115" s="8">
        <v>114</v>
      </c>
      <c r="B115" s="12" t="s">
        <v>381</v>
      </c>
      <c r="C115" s="9" t="s">
        <v>382</v>
      </c>
    </row>
    <row r="116" spans="1:3" x14ac:dyDescent="0.3">
      <c r="A116" s="8">
        <v>115</v>
      </c>
      <c r="B116" s="12" t="s">
        <v>365</v>
      </c>
      <c r="C116" s="9" t="s">
        <v>366</v>
      </c>
    </row>
    <row r="117" spans="1:3" x14ac:dyDescent="0.3">
      <c r="A117" s="8">
        <v>116</v>
      </c>
      <c r="B117" s="12" t="s">
        <v>690</v>
      </c>
      <c r="C117" s="9" t="s">
        <v>691</v>
      </c>
    </row>
    <row r="118" spans="1:3" x14ac:dyDescent="0.3">
      <c r="A118" s="8">
        <v>117</v>
      </c>
      <c r="B118" s="12" t="s">
        <v>134</v>
      </c>
      <c r="C118" s="9" t="s">
        <v>135</v>
      </c>
    </row>
    <row r="119" spans="1:3" x14ac:dyDescent="0.3">
      <c r="A119" s="8">
        <v>118</v>
      </c>
      <c r="B119" s="12" t="s">
        <v>586</v>
      </c>
      <c r="C119" s="9" t="s">
        <v>587</v>
      </c>
    </row>
    <row r="120" spans="1:3" x14ac:dyDescent="0.3">
      <c r="A120" s="8">
        <v>119</v>
      </c>
      <c r="B120" s="12" t="s">
        <v>725</v>
      </c>
      <c r="C120" s="9" t="s">
        <v>726</v>
      </c>
    </row>
  </sheetData>
  <autoFilter ref="A1:C120" xr:uid="{53F1AD00-66CE-4E34-B478-1850B487F75D}"/>
  <hyperlinks>
    <hyperlink ref="C1" r:id="rId1" location="Hex_triplet" tooltip="Web colors" display="https://en.wikipedia.org/wiki/Web_colors - Hex_triplet" xr:uid="{23E3F640-6064-433D-A425-1F16C1FE784F}"/>
    <hyperlink ref="B1" r:id="rId2" location="Hex_triplet" tooltip="Web colors" display="https://en.wikipedia.org/wiki/Web_colors - Hex_triplet" xr:uid="{92BCBC22-5BDA-4A50-A505-730CB554C49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E9F288-A9FF-44E6-898A-417CAA452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Input_Data</vt:lpstr>
      <vt:lpstr>Input_Data_5</vt:lpstr>
      <vt:lpstr>Input_Data_4</vt:lpstr>
      <vt:lpstr>Input_Data_3</vt:lpstr>
      <vt:lpstr>Input_Data_2</vt:lpstr>
      <vt:lpstr>Input_Data_1</vt:lpstr>
      <vt:lpstr>hat1</vt:lpstr>
      <vt:lpstr>hat2</vt:lpstr>
      <vt:lpstr>hat3</vt:lpstr>
      <vt:lpstr>hat4</vt:lpstr>
      <vt:lpstr>Line_Details</vt:lpstr>
      <vt:lpstr>Workstation_Allocation</vt:lpstr>
      <vt:lpstr>Allocation_Graph</vt:lpstr>
      <vt:lpstr>Output</vt:lpstr>
      <vt:lpstr>cap_ultra_merge</vt:lpstr>
      <vt:lpstr>cap_ultra_merge_1</vt:lpstr>
      <vt:lpstr>cap_ultra</vt:lpstr>
      <vt:lpstr>hat5</vt:lpstr>
      <vt:lpstr>Sơ đồ công đoạn (3)</vt:lpstr>
      <vt:lpstr>Example_1</vt:lpstr>
      <vt:lpstr>Example_1_Alt</vt:lpstr>
      <vt:lpstr>Example_2</vt:lpstr>
      <vt:lpstr>Sheet2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Kuram</dc:creator>
  <cp:lastModifiedBy>My_PC</cp:lastModifiedBy>
  <dcterms:created xsi:type="dcterms:W3CDTF">2021-04-20T07:31:22Z</dcterms:created>
  <dcterms:modified xsi:type="dcterms:W3CDTF">2022-08-17T07:57:12Z</dcterms:modified>
</cp:coreProperties>
</file>