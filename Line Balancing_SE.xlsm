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 - VNU-HCMUS\Desktop\SE\"/>
    </mc:Choice>
  </mc:AlternateContent>
  <xr:revisionPtr revIDLastSave="0" documentId="13_ncr:1_{EC5EC02D-C8E0-4FCA-85D1-376F16517ACD}" xr6:coauthVersionLast="47" xr6:coauthVersionMax="47" xr10:uidLastSave="{00000000-0000-0000-0000-000000000000}"/>
  <bookViews>
    <workbookView xWindow="-120" yWindow="-120" windowWidth="29040" windowHeight="15840" tabRatio="850" firstSheet="12" activeTab="23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Line_Details" sheetId="5" r:id="rId11"/>
    <sheet name="Workstation_Allocation" sheetId="17" r:id="rId12"/>
    <sheet name="Allocation_Graph" sheetId="16" r:id="rId13"/>
    <sheet name="Output" sheetId="15" r:id="rId14"/>
    <sheet name="cap_ultra_merge" sheetId="42" r:id="rId15"/>
    <sheet name="cap_ultra_merge_1" sheetId="43" r:id="rId16"/>
    <sheet name="cap_ultra" sheetId="41" r:id="rId17"/>
    <sheet name="hat5" sheetId="36" r:id="rId18"/>
    <sheet name="Sơ đồ công đoạn (3)" sheetId="40" r:id="rId19"/>
    <sheet name="Example_1" sheetId="8" r:id="rId20"/>
    <sheet name="Example_1_Alt" sheetId="21" r:id="rId21"/>
    <sheet name="Example_2" sheetId="10" r:id="rId22"/>
    <sheet name="cap_ultra_merge_2" sheetId="44" r:id="rId23"/>
    <sheet name="cap_ultra_merge_3" sheetId="45" r:id="rId24"/>
    <sheet name="Sheet2" sheetId="14" state="hidden" r:id="rId25"/>
    <sheet name="Colors" sheetId="13" state="hidden" r:id="rId26"/>
  </sheets>
  <definedNames>
    <definedName name="_xlnm._FilterDatabase" localSheetId="25" hidden="1">Colors!$A$1:$C$120</definedName>
    <definedName name="_xlnm._FilterDatabase" localSheetId="19" hidden="1">Example_1!$B$4:$G$69</definedName>
    <definedName name="_xlnm._FilterDatabase" localSheetId="20" hidden="1">Example_1_Alt!$B$4:$G$58</definedName>
    <definedName name="_xlnm._FilterDatabase" localSheetId="21" hidden="1">Example_2!$B$4:$G$16</definedName>
    <definedName name="_xlnm._FilterDatabase" localSheetId="10" hidden="1">Line_Details!$B$4:$G$58</definedName>
    <definedName name="_xlnm._FilterDatabase" localSheetId="24" hidden="1">Sheet2!$A$1:$M$338</definedName>
    <definedName name="ExternalData_1" localSheetId="11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4" l="1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0" authorId="0" shapeId="0" xr:uid="{E65F06B1-CED8-4875-A5E8-A00ACC5B401C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8" authorId="0" shapeId="0" xr:uid="{B98D546E-F463-4DFF-9549-FE1009207C32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C584C49F-3565-4FE5-BC8B-5745898EF105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FA423A50-F438-4020-A8E9-A34BEEF56B7E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2" authorId="0" shapeId="0" xr:uid="{DE1CBD64-242D-4C95-B297-93EEFFA3BF34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<sst xmlns="http://schemas.openxmlformats.org/spreadsheetml/2006/main" count="3071" uniqueCount="1233">
  <si>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</si>
  <si>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</si>
  <si>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</si>
  <si>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</si>
  <si>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</si>
  <si>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</si>
  <si>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</si>
  <si>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</si>
  <si>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</si>
  <si>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</si>
  <si>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</si>
  <si>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</si>
  <si>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</si>
  <si>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</si>
  <si>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</si>
  <si>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</si>
  <si>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</si>
  <si>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</si>
  <si>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</si>
  <si>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</si>
  <si>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</si>
  <si>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</si>
  <si>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</si>
  <si>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</si>
  <si>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</si>
  <si>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</si>
  <si>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</si>
  <si>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</si>
  <si>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</si>
  <si>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</si>
  <si>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</si>
  <si>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</si>
  <si>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</si>
  <si>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</si>
  <si>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</si>
  <si>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</si>
  <si>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</si>
  <si>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</si>
  <si>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</si>
  <si>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</si>
  <si>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</si>
  <si>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</si>
  <si>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</si>
  <si>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</si>
  <si>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</si>
  <si>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</si>
  <si>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</si>
  <si>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</si>
  <si>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</si>
  <si>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</si>
  <si>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</si>
  <si>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</si>
  <si>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</si>
  <si>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</si>
  <si>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</si>
  <si>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</si>
  <si>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</si>
  <si>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</si>
  <si>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</si>
  <si>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</si>
  <si>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</si>
  <si>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</si>
  <si>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</si>
  <si>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</si>
  <si>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</si>
  <si>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</si>
  <si>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</si>
  <si>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</si>
  <si>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</si>
  <si>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</si>
  <si>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</si>
  <si>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</si>
  <si>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</si>
  <si>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</si>
  <si>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</si>
  <si>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</si>
  <si>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</si>
  <si>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</si>
  <si>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</si>
  <si>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</si>
  <si>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</si>
  <si>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</si>
  <si>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</si>
  <si>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</si>
  <si>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</si>
  <si>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</si>
  <si>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</si>
  <si>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</si>
  <si>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</si>
  <si>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</si>
  <si>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</si>
  <si>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</si>
  <si>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</si>
  <si>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</si>
  <si>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</si>
  <si>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</si>
  <si>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</si>
  <si>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</si>
  <si>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</si>
  <si>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</si>
  <si>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</si>
  <si>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</si>
  <si>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</si>
  <si>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</si>
  <si>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</si>
  <si>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</si>
  <si>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</si>
  <si>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</si>
  <si>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</si>
  <si>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</si>
  <si>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</si>
  <si>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</si>
  <si>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</si>
  <si>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</si>
  <si>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</si>
  <si>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</si>
  <si>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</si>
  <si>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</si>
  <si>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</si>
  <si>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</si>
  <si>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</si>
  <si>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</si>
  <si>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</si>
  <si>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</si>
  <si>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</si>
  <si>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</si>
  <si>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</si>
  <si>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</si>
  <si>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</si>
  <si>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</si>
  <si>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</si>
  <si>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</si>
  <si>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</si>
  <si>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</si>
  <si>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</si>
  <si>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</si>
  <si>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</si>
  <si>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</si>
  <si>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</si>
  <si>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</si>
  <si>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</si>
  <si>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</si>
  <si>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</si>
  <si>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</si>
  <si>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</si>
  <si>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</si>
  <si>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</si>
  <si>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</si>
  <si>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</si>
  <si>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</si>
  <si>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</si>
  <si>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</si>
  <si>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</si>
  <si>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</si>
  <si>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</si>
  <si>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</si>
  <si>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</si>
  <si>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</si>
  <si>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</si>
  <si>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</si>
  <si>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</si>
  <si>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</si>
  <si>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</si>
  <si>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</si>
  <si>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</si>
  <si>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</si>
  <si>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</si>
  <si>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</si>
  <si>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</si>
  <si>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</si>
  <si>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</si>
  <si>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</si>
  <si>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</si>
  <si>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</si>
  <si>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</si>
  <si>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</si>
  <si>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</si>
  <si>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</si>
  <si>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</si>
  <si>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</si>
  <si>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</si>
  <si>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</si>
  <si>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</si>
  <si>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</si>
  <si>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</si>
  <si>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</si>
  <si>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</si>
  <si>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</si>
  <si>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</si>
  <si>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</si>
  <si>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</si>
  <si>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</si>
  <si>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</si>
  <si>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</si>
  <si>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</si>
  <si>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</si>
  <si>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</si>
  <si>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</si>
  <si>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</si>
  <si>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</si>
  <si>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</si>
  <si>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</si>
  <si>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</si>
  <si>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</si>
  <si>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</si>
  <si>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</si>
  <si>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</si>
  <si>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</si>
  <si>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</si>
  <si>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</si>
  <si>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</si>
  <si>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</si>
  <si>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</si>
  <si>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</si>
  <si>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</si>
  <si>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</si>
  <si>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</si>
  <si>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</si>
  <si>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</si>
  <si>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</si>
  <si>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</si>
  <si>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</si>
  <si>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</si>
  <si>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</si>
  <si>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</si>
  <si>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</si>
  <si>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</si>
  <si>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</si>
  <si>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</si>
  <si>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</si>
  <si>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</si>
  <si>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</si>
  <si>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</si>
  <si>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</si>
  <si>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</si>
  <si>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</si>
  <si>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</si>
  <si>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</si>
  <si>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</si>
  <si>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</si>
  <si>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</si>
  <si>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</si>
  <si>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</si>
  <si>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</si>
  <si>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</si>
  <si>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</si>
  <si>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</si>
  <si>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</si>
  <si>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</si>
  <si>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</si>
  <si>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</si>
  <si>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</si>
  <si>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</si>
  <si>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</si>
  <si>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</si>
  <si>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</si>
  <si>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</si>
  <si>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</si>
  <si>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</si>
  <si>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</si>
  <si>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</si>
  <si>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</si>
  <si>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</si>
  <si>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</si>
  <si>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</si>
  <si>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</si>
  <si>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</si>
  <si>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</si>
  <si>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</si>
  <si>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</si>
  <si>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</si>
  <si>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</si>
  <si>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</si>
  <si>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</si>
  <si>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</si>
  <si>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</si>
  <si>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</si>
  <si>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</si>
  <si>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</si>
  <si>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</si>
  <si>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</si>
  <si>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</si>
  <si>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</si>
  <si>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</si>
  <si>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</si>
  <si>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</si>
  <si>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</si>
  <si>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</si>
  <si>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</si>
  <si>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</si>
  <si>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</si>
  <si>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</si>
  <si>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</si>
  <si>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</si>
  <si>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</si>
  <si>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</si>
  <si>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</si>
  <si>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</si>
  <si>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</si>
  <si>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</si>
  <si>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</si>
  <si>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</si>
  <si>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</si>
  <si>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</si>
  <si>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</si>
  <si>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</si>
  <si>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</si>
  <si>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</si>
  <si>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</si>
  <si>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</si>
  <si>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</si>
  <si>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</si>
  <si>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</si>
  <si>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</si>
  <si>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</si>
  <si>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</si>
  <si>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</si>
  <si>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</si>
  <si>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</si>
  <si>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</si>
  <si>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</si>
  <si>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</si>
  <si>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</si>
  <si>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</si>
  <si>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</si>
  <si>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</si>
  <si>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</si>
  <si>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</si>
  <si>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</si>
  <si>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</si>
  <si>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</si>
  <si>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</si>
  <si>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</si>
  <si>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</si>
  <si>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</si>
  <si>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</si>
  <si>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</si>
  <si>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</si>
  <si>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</si>
  <si>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</si>
  <si>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</si>
  <si>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</si>
  <si>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</si>
  <si>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</si>
  <si>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</si>
  <si>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</si>
  <si>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</si>
  <si>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</si>
  <si>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</si>
  <si>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</si>
  <si>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</si>
  <si>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</si>
  <si>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</si>
  <si>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</si>
  <si>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</si>
  <si>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</si>
  <si>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</si>
  <si>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</si>
  <si>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</si>
  <si>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</si>
  <si>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</si>
  <si>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</si>
  <si>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</si>
  <si>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</si>
  <si>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</si>
  <si>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</si>
  <si>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</si>
  <si>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</si>
  <si>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</si>
  <si>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</si>
  <si>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</si>
  <si>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</si>
  <si>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</si>
  <si>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</si>
  <si>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</si>
  <si>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</si>
  <si>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</si>
  <si>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</si>
  <si>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</si>
  <si>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</si>
  <si>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</si>
  <si>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</si>
  <si>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</si>
  <si>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</si>
  <si>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</si>
  <si>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</si>
  <si>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</si>
  <si>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</si>
  <si>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</si>
  <si>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</si>
  <si>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</si>
  <si>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</si>
  <si>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</si>
  <si>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</si>
  <si>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</si>
  <si>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</si>
  <si>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</si>
  <si>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</si>
  <si>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</si>
  <si>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</si>
  <si>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</si>
  <si>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</si>
  <si>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</si>
  <si>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</si>
  <si>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</si>
  <si>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</si>
  <si>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</si>
  <si>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</si>
  <si>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</si>
  <si>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</si>
  <si>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</si>
  <si>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</si>
  <si>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</si>
  <si>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</si>
  <si>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</si>
  <si>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</si>
  <si>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</si>
  <si>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</si>
  <si>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</si>
  <si>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</si>
  <si>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</si>
  <si>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</si>
  <si>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</si>
  <si>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</si>
  <si>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</si>
  <si>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</si>
  <si>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</si>
  <si>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</si>
  <si>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</si>
  <si>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</si>
  <si>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</si>
  <si>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</si>
  <si>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</si>
  <si>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</si>
  <si>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</si>
  <si>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</si>
  <si>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</si>
  <si>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</si>
  <si>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</si>
  <si>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</si>
  <si>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</si>
  <si>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</si>
  <si>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</si>
  <si>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</si>
  <si>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</si>
  <si>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</si>
  <si>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</si>
  <si>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</si>
  <si>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</si>
  <si>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</si>
  <si>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</si>
  <si>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</si>
  <si>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</si>
  <si>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</si>
  <si>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</si>
  <si>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</si>
  <si>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</si>
  <si>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</si>
  <si>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</si>
  <si>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</si>
  <si>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</si>
  <si>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</si>
  <si>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</si>
  <si>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</si>
  <si>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</si>
  <si>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</si>
  <si>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</si>
  <si>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</si>
  <si>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</si>
  <si>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</si>
  <si>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</si>
  <si>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</si>
  <si>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</si>
  <si>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</si>
  <si>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</si>
  <si>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</si>
  <si>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</si>
  <si>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</si>
  <si>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</si>
  <si>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</si>
  <si>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</si>
  <si>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</si>
  <si>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</si>
  <si>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</si>
  <si>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</si>
  <si>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</si>
  <si>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</si>
  <si>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</si>
  <si>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</si>
  <si>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</si>
  <si>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</si>
  <si>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</si>
  <si>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</si>
  <si>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</si>
  <si>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</si>
  <si>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</si>
  <si>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</si>
  <si>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</si>
  <si>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</si>
  <si>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</si>
  <si>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</si>
  <si>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</si>
  <si>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</si>
  <si>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</si>
  <si>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</si>
  <si>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</si>
  <si>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</si>
  <si>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</si>
  <si>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</si>
  <si>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</si>
  <si>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</si>
  <si>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</si>
  <si>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</si>
  <si>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</si>
  <si>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</si>
  <si>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</si>
  <si>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</si>
  <si>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</si>
  <si>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</si>
  <si>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</si>
  <si>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</si>
  <si>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</si>
  <si>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</si>
  <si>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</si>
  <si>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</si>
  <si>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</si>
  <si>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</si>
  <si>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</si>
  <si>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</si>
  <si>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</si>
  <si>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</si>
  <si>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</si>
  <si>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</si>
  <si>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</si>
  <si>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</si>
  <si>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</si>
  <si>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</si>
  <si>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</si>
  <si>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</si>
  <si>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</si>
  <si>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</si>
  <si>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</si>
  <si>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</si>
  <si>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</si>
  <si>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</si>
  <si>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</si>
  <si>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</si>
  <si>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</si>
  <si>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</si>
  <si>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</si>
  <si>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</si>
  <si>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</si>
  <si>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</si>
  <si>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</si>
  <si>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</si>
  <si>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</si>
  <si>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</si>
  <si>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</si>
  <si>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</si>
  <si>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</si>
  <si>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</si>
  <si>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</si>
  <si>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</si>
  <si>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</si>
  <si>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</si>
  <si>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</si>
  <si>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</si>
  <si>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</si>
  <si>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</si>
  <si>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</si>
  <si>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</si>
  <si>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</si>
  <si>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</si>
  <si>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</si>
  <si>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</si>
  <si>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</si>
  <si>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</si>
  <si>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</si>
  <si>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</si>
  <si>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</si>
  <si>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</si>
  <si>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</si>
  <si>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</si>
  <si>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</si>
  <si>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</si>
  <si>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</si>
  <si>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</si>
  <si>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</si>
  <si>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</si>
  <si>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</si>
  <si>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</si>
  <si>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</si>
  <si>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</si>
  <si>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</si>
  <si>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</si>
  <si>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</si>
  <si>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</si>
  <si>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</si>
  <si>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</si>
  <si>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</si>
  <si>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</si>
  <si>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</si>
  <si>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</si>
  <si>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</si>
  <si>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</si>
  <si>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</si>
  <si>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</si>
  <si>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</si>
  <si>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</si>
  <si>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</si>
  <si>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</si>
  <si>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</si>
  <si>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</si>
  <si>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</si>
  <si>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</si>
  <si>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</si>
  <si>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</si>
  <si>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</si>
  <si>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</si>
  <si>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</si>
  <si>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</si>
  <si>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</si>
  <si>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</si>
  <si>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</si>
  <si>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</si>
  <si>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</si>
  <si>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</si>
  <si>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</si>
  <si>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</si>
  <si>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</si>
  <si>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</si>
  <si>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</si>
  <si>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</si>
  <si>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</si>
  <si>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</si>
  <si>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</si>
  <si>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</si>
  <si>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</si>
  <si>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</si>
  <si>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</si>
  <si>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</si>
  <si>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</si>
  <si>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</si>
  <si>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</si>
  <si>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</si>
  <si>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</si>
  <si>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</si>
  <si>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</si>
  <si>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</si>
  <si>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</si>
  <si>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</si>
  <si>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</si>
  <si>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</si>
  <si>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</si>
  <si>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</si>
  <si>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</si>
  <si>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</si>
  <si>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</si>
  <si>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</si>
  <si>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</si>
  <si>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</si>
  <si>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</si>
  <si>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</si>
  <si>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</si>
  <si>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</si>
  <si>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</si>
  <si>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</si>
  <si>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</si>
  <si>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</si>
  <si>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</si>
  <si>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</si>
  <si>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</si>
  <si>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</si>
  <si>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</si>
  <si>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</si>
  <si>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</si>
  <si>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</si>
  <si>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</si>
  <si>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</si>
  <si>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</si>
  <si>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</si>
  <si>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</si>
  <si>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</si>
  <si>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</si>
  <si>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</si>
  <si>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</si>
  <si>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</si>
  <si>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</si>
  <si>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</si>
  <si>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</si>
  <si>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</si>
  <si>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</si>
  <si>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</si>
  <si>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</si>
  <si>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</si>
  <si>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</si>
  <si>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</si>
  <si>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</si>
  <si>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</si>
  <si>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</si>
  <si>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</si>
  <si>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</si>
  <si>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</si>
  <si>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</si>
  <si>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</si>
  <si>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</si>
  <si>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</si>
  <si>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</si>
  <si>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</si>
  <si>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</si>
  <si>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</si>
  <si>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</si>
  <si>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</si>
  <si>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</si>
  <si>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</si>
  <si>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</si>
  <si>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</si>
  <si>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</si>
  <si>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</si>
  <si>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</si>
  <si>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</si>
  <si>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</si>
  <si>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</si>
  <si>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</si>
  <si>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</si>
  <si>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</si>
  <si>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</si>
  <si>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</si>
  <si>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</si>
  <si>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</si>
  <si>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</si>
  <si>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</si>
  <si>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</si>
  <si>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</si>
  <si>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</si>
  <si>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</si>
  <si>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</si>
  <si>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</si>
  <si>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</si>
  <si>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</si>
  <si>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</si>
  <si>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</si>
  <si>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</si>
  <si>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</si>
  <si>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</si>
  <si>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</si>
  <si>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</si>
  <si>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</si>
  <si>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</si>
  <si>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</si>
  <si>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</si>
  <si>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</si>
  <si>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</si>
  <si>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</si>
  <si>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</si>
  <si>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</si>
  <si>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</si>
  <si>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</si>
  <si>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</si>
  <si>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</si>
  <si>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</si>
  <si>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</si>
  <si>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</si>
  <si>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</si>
  <si>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</si>
  <si>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</si>
  <si>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</si>
  <si>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</si>
  <si>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</si>
  <si>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</si>
  <si>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</si>
  <si>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</si>
  <si>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</si>
  <si>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</si>
  <si>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</si>
  <si>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</si>
  <si>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</si>
  <si>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</si>
  <si>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</si>
  <si>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</si>
  <si>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</si>
  <si>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</si>
  <si>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</si>
  <si>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</si>
  <si>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</si>
  <si>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</si>
  <si>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</si>
  <si>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</si>
  <si>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</si>
  <si>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</si>
  <si>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</si>
  <si>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</si>
  <si>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</si>
  <si>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</si>
  <si>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</si>
  <si>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</si>
  <si>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</si>
  <si>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</si>
  <si>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</si>
  <si>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</si>
  <si>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</si>
  <si>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</si>
  <si>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</si>
  <si>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</si>
  <si>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</si>
  <si>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</si>
  <si>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</si>
  <si>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</si>
  <si>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</si>
  <si>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</si>
  <si>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</si>
  <si>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</si>
  <si>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</si>
  <si>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</si>
  <si>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</si>
  <si>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</si>
  <si>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</si>
  <si>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</si>
  <si>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</si>
  <si>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</si>
  <si>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</si>
  <si>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</si>
  <si>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</si>
  <si>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</si>
  <si>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</si>
  <si>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</si>
  <si>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</si>
  <si>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</si>
  <si>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</si>
  <si>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</si>
  <si>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</si>
  <si>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</si>
  <si>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</si>
  <si>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</si>
  <si>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</si>
  <si>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</si>
  <si>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</si>
  <si>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</si>
  <si>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</si>
  <si>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</si>
  <si>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</si>
  <si>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</si>
  <si>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</si>
  <si>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</si>
  <si>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</si>
  <si>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</si>
  <si>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</si>
  <si>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</si>
  <si>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</si>
  <si>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</si>
  <si>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</si>
  <si>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</si>
  <si>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</si>
  <si>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</si>
  <si>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</si>
  <si>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</si>
  <si>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</si>
  <si>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</si>
  <si>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</si>
  <si>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</si>
  <si>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</si>
  <si>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</si>
  <si>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</si>
  <si>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</si>
  <si>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</si>
  <si>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</si>
  <si>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</si>
  <si>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</si>
  <si>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</si>
  <si>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</si>
  <si>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</si>
  <si>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</si>
  <si>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</si>
  <si>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</si>
  <si>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</si>
  <si>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</si>
  <si>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</si>
  <si>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</si>
  <si>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</si>
  <si>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</si>
  <si>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</si>
  <si>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</si>
  <si>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</si>
  <si>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</si>
  <si>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</si>
  <si>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</si>
  <si>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</si>
  <si>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</si>
  <si>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</si>
  <si>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</si>
  <si>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</si>
  <si>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</si>
  <si>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</si>
  <si>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</si>
  <si>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</si>
  <si>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</si>
  <si>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</si>
  <si>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</si>
  <si>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</si>
  <si>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</si>
  <si>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</si>
  <si>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</si>
  <si>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</si>
  <si>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</si>
  <si>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</si>
  <si>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</si>
  <si>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</si>
  <si>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</si>
  <si>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</si>
  <si>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</si>
  <si>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</si>
  <si>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</si>
  <si>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</si>
  <si>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</si>
  <si>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</si>
  <si>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</si>
  <si>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</si>
  <si>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</si>
  <si>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</si>
  <si>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</si>
  <si>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</si>
  <si>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</si>
  <si>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</si>
  <si>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</si>
  <si>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</si>
  <si>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</si>
  <si>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</si>
  <si>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</si>
  <si>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</si>
  <si>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</si>
  <si>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</si>
  <si>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</si>
  <si>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</si>
  <si>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</si>
  <si>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</si>
  <si>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</si>
  <si>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</si>
  <si>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</si>
  <si>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</si>
  <si>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</si>
  <si>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</si>
  <si>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</si>
  <si>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</si>
  <si>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</si>
  <si>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</si>
  <si>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</si>
  <si>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</si>
  <si>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</si>
  <si>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</si>
  <si>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</si>
  <si>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</si>
  <si>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</si>
  <si>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</si>
  <si>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</si>
  <si>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</si>
  <si>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</si>
  <si>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</si>
  <si>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</si>
  <si>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</si>
  <si>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</si>
  <si>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</si>
  <si>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</si>
  <si>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</si>
  <si>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</si>
  <si>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</si>
  <si>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</si>
  <si>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</si>
  <si>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</si>
  <si>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</si>
  <si>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</si>
  <si>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</si>
  <si>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</si>
  <si>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</si>
  <si>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</si>
  <si>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</si>
  <si>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</si>
  <si>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</si>
  <si>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</si>
  <si>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</si>
  <si>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</si>
  <si>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</si>
  <si>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</si>
  <si>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</si>
  <si>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</si>
  <si>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</si>
  <si>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</si>
  <si>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</si>
  <si>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</si>
  <si>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</si>
  <si>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</si>
  <si>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</si>
  <si>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</si>
  <si>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</si>
  <si>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</si>
  <si>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</si>
  <si>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</si>
  <si>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</si>
  <si>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</si>
  <si>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</si>
  <si>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</si>
  <si>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</si>
  <si>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</si>
  <si>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</si>
  <si>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</si>
  <si>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</si>
  <si>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</si>
  <si>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</si>
  <si>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</si>
  <si>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</si>
  <si>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</si>
  <si>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</si>
  <si>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</si>
  <si>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</si>
  <si>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</si>
  <si>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</si>
  <si>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</si>
  <si>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</si>
  <si>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</si>
  <si>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</si>
  <si>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</si>
  <si>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</si>
  <si>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</si>
  <si>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</si>
  <si>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</si>
  <si>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</si>
  <si>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</si>
  <si>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</si>
  <si>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</si>
  <si>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</si>
  <si>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</si>
  <si>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</si>
  <si>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</si>
  <si>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</si>
  <si>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</si>
  <si>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</si>
  <si>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</si>
  <si>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</si>
  <si>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</si>
  <si>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</si>
  <si>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</si>
  <si>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</si>
  <si>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</si>
  <si>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</si>
  <si>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</si>
  <si>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</si>
  <si>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</si>
  <si>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</si>
  <si>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</si>
  <si>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</si>
  <si>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</si>
  <si>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</si>
  <si>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</si>
  <si>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</si>
  <si>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</si>
  <si>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</si>
  <si>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</si>
  <si>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</si>
  <si>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</si>
  <si>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</si>
  <si>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</si>
  <si>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</si>
  <si>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</si>
  <si>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</si>
  <si>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</si>
  <si>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</si>
  <si>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</si>
  <si>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</si>
  <si>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</si>
  <si>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</si>
  <si>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</si>
  <si>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</si>
  <si>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</si>
  <si>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</si>
  <si>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</si>
  <si>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</si>
  <si>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</si>
  <si>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</si>
  <si>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</si>
  <si>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</si>
  <si>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</si>
  <si>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</si>
  <si>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</si>
  <si>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</si>
  <si>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</si>
  <si>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</si>
  <si>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</si>
  <si>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</si>
  <si>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</si>
  <si>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</si>
  <si>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</si>
  <si>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</si>
  <si>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</si>
  <si>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</si>
  <si>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</si>
  <si>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</si>
  <si>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</si>
  <si>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</si>
  <si>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</si>
  <si>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</si>
  <si>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</si>
  <si>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</si>
  <si>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</si>
  <si>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</si>
  <si>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</si>
  <si>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</si>
  <si>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</si>
  <si>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</si>
  <si>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</si>
  <si>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</si>
  <si>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</si>
  <si>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</si>
  <si>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</si>
  <si>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</si>
  <si>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</si>
  <si>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</si>
  <si>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</si>
  <si>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</si>
  <si>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</si>
  <si>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</si>
  <si>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</si>
  <si>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</si>
  <si>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</si>
  <si>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</si>
  <si>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</si>
  <si>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</si>
  <si>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</si>
  <si>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</si>
  <si>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</si>
  <si>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</si>
  <si>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</si>
  <si>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</si>
  <si>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</si>
  <si>
    <t>Ráp 5mm con đĩa</t>
  </si>
  <si>
    <t>Lược nhiều cái nhãn dính lại với nhau</t>
  </si>
  <si>
    <t>May chặn con đĩa vào khóa</t>
  </si>
  <si>
    <t>May chặn đầu dây khoá</t>
  </si>
  <si>
    <r>
      <rPr>
        <strike/>
        <sz val="10"/>
        <rFont val="Arial"/>
        <family val="2"/>
      </rPr>
      <t>May Ziczac chặn 4 điểm ở các bên xỏ lỗ ( tham khảo mẫu )</t>
    </r>
    <r>
      <rPr>
        <sz val="10"/>
        <rFont val="Arial"/>
        <family val="2"/>
      </rPr>
      <t xml:space="preserve"> (máy lập trình khuy-bọ)</t>
    </r>
  </si>
  <si>
    <t>Diễu viền 2 kim 5mm thân xung quanh chóp</t>
  </si>
  <si>
    <t>Lược nhãn vào gáy che</t>
  </si>
  <si>
    <t>May bọc viền vành</t>
  </si>
  <si>
    <t>Ráp lược lót chóp vào chóp ( lược phần trên )</t>
  </si>
  <si>
    <t>Lược nhãn vào giữa đường 2 kim chóp</t>
  </si>
  <si>
    <t>Trụ bước đứng</t>
  </si>
  <si>
    <t>Tra lót chóp vào vành</t>
  </si>
  <si>
    <t>Ráp thân dưới vào chóp nón
( Ráp 6mm điểm xỏ trùng với điểm giưã hai kim của hông nón )</t>
  </si>
  <si>
    <t>Diễu gấp đầu 2mm hông nón ( Phần đuôi )</t>
  </si>
  <si>
    <t>Diễu 2mm hai bên đường ráp mặt và hông nón ( Giống sun tripper)</t>
  </si>
  <si>
    <t>Lược hông nón vào đuôi nón ( Lược theo dấu )</t>
  </si>
  <si>
    <t>Ráp mặt vào hông nón ( Ráp theo dấu , chừa 1 lỗ 2.5cm ở giữa )</t>
  </si>
  <si>
    <t>Diễu viền 2 kim 5mm hông dưới ( 2 bên )</t>
  </si>
  <si>
    <t>Ráp hông dưới vào hông trên ( 2 bên )</t>
  </si>
  <si>
    <t>Diễu viền 2 kim 5mm đỉnh và hông phối ( 2 bên-viền diễu phần đỉnh )</t>
  </si>
  <si>
    <t>Ráp hông phối và hông vào đỉnh ( 2 bên )</t>
  </si>
  <si>
    <t>Diễu 1.5 mm hông phối</t>
  </si>
  <si>
    <t>Vắt sổ hông lưới và hông phối ( 2 bên )</t>
  </si>
  <si>
    <t xml:space="preserve">Ráp lót đai </t>
  </si>
  <si>
    <t>Ráp hông lưới vào hông phối ( 2 bên )</t>
  </si>
  <si>
    <t>Viền 2 kim đỉnh nón ( Viền 2 kim thường)</t>
  </si>
  <si>
    <t>Viền 2 kim lót đai</t>
  </si>
  <si>
    <t>Gắn khoá vào đuôi nón( Bên ngắn TP = 1 cm , bên dài TP = 10 cm ) Phần dành xỏ khoá cắt 6 cm ráp nối 6-7 mm</t>
  </si>
  <si>
    <t>Ráp 6mm đỉnh nón</t>
  </si>
  <si>
    <t>Diễu 1.5mm xung quanh chân nón</t>
  </si>
  <si>
    <t>Đính dây quai vào vành</t>
  </si>
  <si>
    <t>Trụ bước ngang</t>
  </si>
  <si>
    <t>Bọc viền xung quanh vành</t>
  </si>
  <si>
    <t>Viền diễu 2 kim 5mm gáy che và vành ( Dây viền 2.2 ép lưới và lót thêm 1 lớp keo
HQ bên trong rộng 8-9 mm</t>
  </si>
  <si>
    <t>May dây size felt vào nón</t>
  </si>
  <si>
    <t>Bọc hai đầu cọng cước ở ngoài vành bằng vải kate hoặc vải chính</t>
  </si>
  <si>
    <t>Bọc đầu cọng cước ở giưã vành bằng keo HQ ( Bọc hai lớp keo )</t>
  </si>
  <si>
    <t>Ziczac</t>
  </si>
  <si>
    <t>May cọng cước vào vành ( Cọng cước cắt đôi ở điểm giữa vành )</t>
  </si>
  <si>
    <t>1 người</t>
  </si>
  <si>
    <t>1 kim</t>
  </si>
  <si>
    <t>máy khuy bọ</t>
  </si>
  <si>
    <t>2 kim</t>
  </si>
  <si>
    <t>May Ziczac chặn 4 điểm ở các bên xỏ lỗ ( tham khảo mẫu )</t>
  </si>
  <si>
    <t>1 kim hỗ trợ sửa hàng</t>
  </si>
  <si>
    <t>Dự bị</t>
  </si>
  <si>
    <t>Ráp lót đai</t>
  </si>
  <si>
    <t>2-3</t>
  </si>
  <si>
    <t>8-9</t>
  </si>
  <si>
    <t>4-5</t>
  </si>
  <si>
    <t>37-38</t>
  </si>
  <si>
    <t>35-36</t>
  </si>
  <si>
    <t>29-30</t>
  </si>
  <si>
    <t>31-32</t>
  </si>
  <si>
    <t>24-25</t>
  </si>
  <si>
    <t>22-23</t>
  </si>
  <si>
    <t>10-11</t>
  </si>
  <si>
    <t>12-13</t>
  </si>
  <si>
    <t>14-15</t>
  </si>
  <si>
    <t>13,17</t>
  </si>
  <si>
    <t>11,23</t>
  </si>
  <si>
    <t>21,24</t>
  </si>
  <si>
    <t>5,32</t>
  </si>
  <si>
    <t>8,12</t>
  </si>
  <si>
    <r>
      <t>Ziczac</t>
    </r>
    <r>
      <rPr>
        <sz val="10"/>
        <rFont val="Arial"/>
        <family val="2"/>
      </rPr>
      <t xml:space="preserve"> (Lập trình)</t>
    </r>
  </si>
  <si>
    <t>Viền lật 3 kim quanh nón</t>
  </si>
  <si>
    <t>31,32</t>
  </si>
  <si>
    <t>30,36</t>
  </si>
  <si>
    <t>Bọc đầu cọng cước ở giưã vành bằng keo HQ ( Bọc hai lớp keo ) + Bọc hai đầu cọng cước ở ngoài vành bằng vải kate hoặc vải chính</t>
  </si>
  <si>
    <t>Viền 2 kim lót đai + Viền 2 kim đỉnh nón ( Viền 2 kim thường)</t>
  </si>
  <si>
    <t xml:space="preserve">Ráp hông lưới vào hông phối ( 2 bên ) + Ráp lót đai </t>
  </si>
  <si>
    <t>Viền diễu 2 kim 5mm gáy che và vành ( Dây viền 2.2 ép lưới và lót thêm 1 lớp keo
HQ bên trong rộng 8-9 mm + Bọc viền xung quanh vòng</t>
  </si>
  <si>
    <t>Đính dây quai vào vành + Diễu 1.5mm xung quanh chân nón</t>
  </si>
  <si>
    <t>Ráp 6mm đỉnh nón + Gắn khoá vào đuôi nón( Bên ngắn TP = 1 cm , bên dài TP = 10 cm ) Phần dành xỏ khoá cắt 6 cm ráp nối 6-7 mm</t>
  </si>
  <si>
    <t>Vắt sổ hông lưới và hông phối ( 2 bên ) + Diễu 1.5 mm hông phối</t>
  </si>
  <si>
    <t>Ráp mặt vào hông nón ( Ráp theo dấu , chừa 1 lỗ 2.5cm ở giữa ) + Lược hông nón vào đuôi nón ( Lược theo dấu )</t>
  </si>
  <si>
    <t>Diễu 2mm hai bên đường ráp mặt và hông nón ( Giống sun tripper) + Diễu gấp đầu 2mm hông nón ( Phần đuôi )</t>
  </si>
  <si>
    <t>May bọc viền vành + Lược nhãn vào gáy che</t>
  </si>
  <si>
    <t>May chặn đầu dây khoá + May chặn con đĩa vào khóa</t>
  </si>
  <si>
    <t>Lược nhiều cái nhãn dính lại với nhau + Ráp 5mm con đĩa</t>
  </si>
  <si>
    <t>18,20</t>
  </si>
  <si>
    <t>7,9</t>
  </si>
  <si>
    <t>8,10</t>
  </si>
  <si>
    <t>14,16</t>
  </si>
  <si>
    <t>4,22</t>
  </si>
  <si>
    <t>21,25</t>
  </si>
  <si>
    <t xml:space="preserve">Vắt sổ </t>
  </si>
  <si>
    <t>12,16</t>
  </si>
  <si>
    <t>20,22</t>
  </si>
  <si>
    <t>4,29</t>
  </si>
  <si>
    <t>7,11</t>
  </si>
  <si>
    <t>27,32</t>
  </si>
  <si>
    <t>28,29</t>
  </si>
  <si>
    <t>14,26</t>
  </si>
  <si>
    <t>7,24</t>
  </si>
  <si>
    <t>12,22</t>
  </si>
  <si>
    <t>16,18</t>
  </si>
  <si>
    <t>10,22</t>
  </si>
  <si>
    <t>5,20</t>
  </si>
  <si>
    <t>8,18</t>
  </si>
  <si>
    <t>12,14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</si>
</sst>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trike/>
      <sz val="10"/>
      <name val="Arial"/>
      <family val="2"/>
    </font>
    <font>
      <sz val="12"/>
      <name val="Calibri"/>
      <family val="2"/>
      <scheme val="minor"/>
    </font>
    <font>
      <b/>
      <sz val="9"/>
      <name val="Times New Roman"/>
      <family val="1"/>
    </font>
    <font>
      <sz val="9"/>
      <name val="Times New Roman"/>
      <family val="1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0" fontId="17" fillId="0" borderId="0"/>
  </cellStyleXfs>
  <cellXfs count="463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7" fillId="0" borderId="0" xfId="3"/>
    <xf numFmtId="0" fontId="19" fillId="0" borderId="1" xfId="3" applyFont="1" applyBorder="1" applyAlignment="1">
      <alignment horizontal="left" vertical="center" wrapText="1"/>
    </xf>
    <xf numFmtId="0" fontId="17" fillId="0" borderId="1" xfId="3" applyBorder="1" applyAlignment="1">
      <alignment horizontal="center" vertical="center"/>
    </xf>
    <xf numFmtId="2" fontId="18" fillId="0" borderId="1" xfId="3" applyNumberFormat="1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left" vertical="center" wrapText="1"/>
    </xf>
    <xf numFmtId="0" fontId="18" fillId="0" borderId="1" xfId="3" applyFont="1" applyBorder="1" applyAlignment="1">
      <alignment horizontal="center" vertical="center" wrapText="1"/>
    </xf>
    <xf numFmtId="0" fontId="17" fillId="9" borderId="0" xfId="3" applyFill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0" xfId="3" applyFill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9" borderId="0" xfId="3" applyFont="1" applyFill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9" borderId="343" xfId="3" applyFill="1" applyBorder="1" applyAlignment="1">
      <alignment horizontal="center" vertical="center" wrapText="1"/>
    </xf>
    <xf numFmtId="0" fontId="17" fillId="9" borderId="342" xfId="3" applyFill="1" applyBorder="1" applyAlignment="1">
      <alignment horizontal="center" vertical="center" wrapText="1"/>
    </xf>
    <xf numFmtId="0" fontId="17" fillId="9" borderId="341" xfId="3" applyFill="1" applyBorder="1" applyAlignment="1">
      <alignment horizontal="center" vertical="center"/>
    </xf>
    <xf numFmtId="0" fontId="17" fillId="9" borderId="341" xfId="3" applyFill="1" applyBorder="1" applyAlignment="1">
      <alignment horizontal="center"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9" borderId="34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9" fontId="17" fillId="10" borderId="1" xfId="3" applyNumberFormat="1" applyFill="1" applyBorder="1" applyAlignment="1">
      <alignment horizontal="center" vertical="center"/>
    </xf>
    <xf numFmtId="0" fontId="17" fillId="10" borderId="1" xfId="3" applyFill="1" applyBorder="1" applyAlignment="1">
      <alignment horizontal="center" vertical="center"/>
    </xf>
    <xf numFmtId="49" fontId="17" fillId="9" borderId="1" xfId="3" applyNumberFormat="1" applyFill="1" applyBorder="1" applyAlignment="1">
      <alignment horizontal="center" vertical="center"/>
    </xf>
    <xf numFmtId="2" fontId="18" fillId="9" borderId="1" xfId="3" applyNumberFormat="1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center" vertical="center" wrapText="1"/>
    </xf>
    <xf numFmtId="0" fontId="21" fillId="9" borderId="1" xfId="3" applyFont="1" applyFill="1" applyBorder="1" applyAlignment="1">
      <alignment horizontal="center" vertical="center"/>
    </xf>
    <xf numFmtId="0" fontId="18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7" fillId="9" borderId="1" xfId="3" applyFont="1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20" fillId="9" borderId="1" xfId="3" applyFont="1" applyFill="1" applyBorder="1" applyAlignment="1">
      <alignment horizontal="center" vertical="center" wrapText="1"/>
    </xf>
    <xf numFmtId="2" fontId="20" fillId="9" borderId="1" xfId="3" applyNumberFormat="1" applyFont="1" applyFill="1" applyBorder="1" applyAlignment="1">
      <alignment horizontal="left" vertical="center" wrapText="1"/>
    </xf>
    <xf numFmtId="0" fontId="19" fillId="9" borderId="1" xfId="3" applyFont="1" applyFill="1" applyBorder="1" applyAlignment="1">
      <alignment horizontal="left" vertical="center" wrapText="1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7" fillId="2" borderId="1" xfId="3" applyFill="1" applyBorder="1" applyAlignment="1">
      <alignment horizontal="center" vertical="center"/>
    </xf>
    <xf numFmtId="0" fontId="17" fillId="2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/>
    </xf>
    <xf numFmtId="0" fontId="1" fillId="9" borderId="1" xfId="2" applyFont="1" applyFill="1" applyBorder="1" applyAlignment="1">
      <alignment horizontal="center"/>
    </xf>
    <xf numFmtId="0" fontId="1" fillId="9" borderId="1" xfId="2" applyFont="1" applyFill="1" applyBorder="1" applyAlignment="1">
      <alignment horizontal="center" vertical="center" wrapText="1"/>
    </xf>
    <xf numFmtId="0" fontId="11" fillId="6" borderId="1" xfId="2" applyFont="1" applyFill="1" applyBorder="1" applyAlignment="1">
      <alignment horizontal="center" vertical="center" wrapText="1"/>
    </xf>
    <xf numFmtId="0" fontId="2" fillId="0" borderId="0" xfId="2" applyFont="1"/>
  </cellXfs>
  <cellStyles count="4">
    <cellStyle name="Hyperlink" xfId="1" builtinId="8"/>
    <cellStyle name="Normal" xfId="0" builtinId="0"/>
    <cellStyle name="Normal 2" xfId="2" xr:uid="{B2821FF3-A614-42F2-9D72-74CF5E7E69E4}"/>
    <cellStyle name="Normal 3" xfId="3" xr:uid="{4DAEA1B4-6DF1-4E30-9CE4-0486FE4FA793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321945</xdr:colOff>
      <xdr:row>10</xdr:row>
      <xdr:rowOff>22225</xdr:rowOff>
    </xdr:from>
    <xdr:to>
      <xdr:col>14</xdr:col>
      <xdr:colOff>410845</xdr:colOff>
      <xdr:row>10</xdr:row>
      <xdr:rowOff>177800</xdr:rowOff>
    </xdr:to>
    <xdr:sp macro="" textlink="">
      <xdr:nvSpPr>
        <xdr:cNvPr id="2" name="U-Turn Arrow 30">
          <a:extLst>
            <a:ext uri="{FF2B5EF4-FFF2-40B4-BE49-F238E27FC236}">
              <a16:creationId xmlns:a16="http://schemas.microsoft.com/office/drawing/2014/main" id="{3158E416-248C-40FC-BFB5-86F82EB35E84}"/>
            </a:ext>
          </a:extLst>
        </xdr:cNvPr>
        <xdr:cNvSpPr/>
      </xdr:nvSpPr>
      <xdr:spPr>
        <a:xfrm rot="10800000">
          <a:off x="5122545" y="2022475"/>
          <a:ext cx="4889500" cy="155575"/>
        </a:xfrm>
        <a:prstGeom prst="uturnArrow">
          <a:avLst>
            <a:gd name="adj1" fmla="val 24886"/>
            <a:gd name="adj2" fmla="val 20618"/>
            <a:gd name="adj3" fmla="val 37432"/>
            <a:gd name="adj4" fmla="val 57328"/>
            <a:gd name="adj5" fmla="val 90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528320</xdr:colOff>
      <xdr:row>8</xdr:row>
      <xdr:rowOff>75565</xdr:rowOff>
    </xdr:from>
    <xdr:to>
      <xdr:col>14</xdr:col>
      <xdr:colOff>160655</xdr:colOff>
      <xdr:row>8</xdr:row>
      <xdr:rowOff>184150</xdr:rowOff>
    </xdr:to>
    <xdr:sp macro="" textlink="">
      <xdr:nvSpPr>
        <xdr:cNvPr id="3" name="Right Arrow 31">
          <a:extLst>
            <a:ext uri="{FF2B5EF4-FFF2-40B4-BE49-F238E27FC236}">
              <a16:creationId xmlns:a16="http://schemas.microsoft.com/office/drawing/2014/main" id="{0E7C1096-D04F-4C8F-81A1-6EBE5341D42C}"/>
            </a:ext>
          </a:extLst>
        </xdr:cNvPr>
        <xdr:cNvSpPr/>
      </xdr:nvSpPr>
      <xdr:spPr>
        <a:xfrm>
          <a:off x="9443720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325755</xdr:colOff>
      <xdr:row>6</xdr:row>
      <xdr:rowOff>67310</xdr:rowOff>
    </xdr:from>
    <xdr:to>
      <xdr:col>7</xdr:col>
      <xdr:colOff>400050</xdr:colOff>
      <xdr:row>8</xdr:row>
      <xdr:rowOff>116840</xdr:rowOff>
    </xdr:to>
    <xdr:sp macro="" textlink="">
      <xdr:nvSpPr>
        <xdr:cNvPr id="4" name="Down Arrow 32">
          <a:extLst>
            <a:ext uri="{FF2B5EF4-FFF2-40B4-BE49-F238E27FC236}">
              <a16:creationId xmlns:a16="http://schemas.microsoft.com/office/drawing/2014/main" id="{D9771AC5-4B8F-4FF2-A997-C4FC400B2B6B}"/>
            </a:ext>
          </a:extLst>
        </xdr:cNvPr>
        <xdr:cNvSpPr/>
      </xdr:nvSpPr>
      <xdr:spPr>
        <a:xfrm rot="10800000">
          <a:off x="5126355" y="126746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361950</xdr:colOff>
      <xdr:row>11</xdr:row>
      <xdr:rowOff>17145</xdr:rowOff>
    </xdr:from>
    <xdr:to>
      <xdr:col>9</xdr:col>
      <xdr:colOff>453390</xdr:colOff>
      <xdr:row>12</xdr:row>
      <xdr:rowOff>29210</xdr:rowOff>
    </xdr:to>
    <xdr:sp macro="" textlink="">
      <xdr:nvSpPr>
        <xdr:cNvPr id="5" name="U-Turn Arrow 33">
          <a:extLst>
            <a:ext uri="{FF2B5EF4-FFF2-40B4-BE49-F238E27FC236}">
              <a16:creationId xmlns:a16="http://schemas.microsoft.com/office/drawing/2014/main" id="{F9323985-769D-413A-ADF7-74C2B4F782A7}"/>
            </a:ext>
          </a:extLst>
        </xdr:cNvPr>
        <xdr:cNvSpPr/>
      </xdr:nvSpPr>
      <xdr:spPr>
        <a:xfrm flipV="1">
          <a:off x="5162550" y="2217420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50800</xdr:rowOff>
    </xdr:from>
    <xdr:to>
      <xdr:col>8</xdr:col>
      <xdr:colOff>160020</xdr:colOff>
      <xdr:row>6</xdr:row>
      <xdr:rowOff>159385</xdr:rowOff>
    </xdr:to>
    <xdr:sp macro="" textlink="">
      <xdr:nvSpPr>
        <xdr:cNvPr id="6" name="Right Arrow 34">
          <a:extLst>
            <a:ext uri="{FF2B5EF4-FFF2-40B4-BE49-F238E27FC236}">
              <a16:creationId xmlns:a16="http://schemas.microsoft.com/office/drawing/2014/main" id="{1831E29D-084F-4DD3-A3E0-6F03AA190BE5}"/>
            </a:ext>
          </a:extLst>
        </xdr:cNvPr>
        <xdr:cNvSpPr/>
      </xdr:nvSpPr>
      <xdr:spPr>
        <a:xfrm>
          <a:off x="5328285" y="125095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8</xdr:col>
      <xdr:colOff>535940</xdr:colOff>
      <xdr:row>6</xdr:row>
      <xdr:rowOff>34290</xdr:rowOff>
    </xdr:from>
    <xdr:to>
      <xdr:col>9</xdr:col>
      <xdr:colOff>168275</xdr:colOff>
      <xdr:row>6</xdr:row>
      <xdr:rowOff>142875</xdr:rowOff>
    </xdr:to>
    <xdr:sp macro="" textlink="">
      <xdr:nvSpPr>
        <xdr:cNvPr id="7" name="Right Arrow 35">
          <a:extLst>
            <a:ext uri="{FF2B5EF4-FFF2-40B4-BE49-F238E27FC236}">
              <a16:creationId xmlns:a16="http://schemas.microsoft.com/office/drawing/2014/main" id="{B6FECD28-07AF-40C8-A7B0-97B238F185D4}"/>
            </a:ext>
          </a:extLst>
        </xdr:cNvPr>
        <xdr:cNvSpPr/>
      </xdr:nvSpPr>
      <xdr:spPr>
        <a:xfrm>
          <a:off x="6022340" y="123444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312420</xdr:colOff>
      <xdr:row>6</xdr:row>
      <xdr:rowOff>92075</xdr:rowOff>
    </xdr:from>
    <xdr:to>
      <xdr:col>10</xdr:col>
      <xdr:colOff>386715</xdr:colOff>
      <xdr:row>8</xdr:row>
      <xdr:rowOff>141605</xdr:rowOff>
    </xdr:to>
    <xdr:sp macro="" textlink="">
      <xdr:nvSpPr>
        <xdr:cNvPr id="8" name="Down Arrow 36">
          <a:extLst>
            <a:ext uri="{FF2B5EF4-FFF2-40B4-BE49-F238E27FC236}">
              <a16:creationId xmlns:a16="http://schemas.microsoft.com/office/drawing/2014/main" id="{BE5DD8AC-F111-4447-AF6B-47A966F111C7}"/>
            </a:ext>
          </a:extLst>
        </xdr:cNvPr>
        <xdr:cNvSpPr/>
      </xdr:nvSpPr>
      <xdr:spPr>
        <a:xfrm rot="10800000">
          <a:off x="7170420" y="1292225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518795</xdr:colOff>
      <xdr:row>6</xdr:row>
      <xdr:rowOff>27305</xdr:rowOff>
    </xdr:from>
    <xdr:to>
      <xdr:col>4</xdr:col>
      <xdr:colOff>151130</xdr:colOff>
      <xdr:row>6</xdr:row>
      <xdr:rowOff>135890</xdr:rowOff>
    </xdr:to>
    <xdr:sp macro="" textlink="">
      <xdr:nvSpPr>
        <xdr:cNvPr id="9" name="Right Arrow 37">
          <a:extLst>
            <a:ext uri="{FF2B5EF4-FFF2-40B4-BE49-F238E27FC236}">
              <a16:creationId xmlns:a16="http://schemas.microsoft.com/office/drawing/2014/main" id="{F888E6F0-AF00-4DE3-8948-EE4D89AD4118}"/>
            </a:ext>
          </a:extLst>
        </xdr:cNvPr>
        <xdr:cNvSpPr/>
      </xdr:nvSpPr>
      <xdr:spPr>
        <a:xfrm rot="10800000">
          <a:off x="2576195" y="122745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540385</xdr:colOff>
      <xdr:row>6</xdr:row>
      <xdr:rowOff>34925</xdr:rowOff>
    </xdr:from>
    <xdr:to>
      <xdr:col>5</xdr:col>
      <xdr:colOff>172720</xdr:colOff>
      <xdr:row>6</xdr:row>
      <xdr:rowOff>143510</xdr:rowOff>
    </xdr:to>
    <xdr:sp macro="" textlink="">
      <xdr:nvSpPr>
        <xdr:cNvPr id="10" name="Right Arrow 38">
          <a:extLst>
            <a:ext uri="{FF2B5EF4-FFF2-40B4-BE49-F238E27FC236}">
              <a16:creationId xmlns:a16="http://schemas.microsoft.com/office/drawing/2014/main" id="{29B736BD-1491-4A2C-911C-AA1982ABC3E9}"/>
            </a:ext>
          </a:extLst>
        </xdr:cNvPr>
        <xdr:cNvSpPr/>
      </xdr:nvSpPr>
      <xdr:spPr>
        <a:xfrm>
          <a:off x="3283585" y="12350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4</xdr:row>
      <xdr:rowOff>27940</xdr:rowOff>
    </xdr:from>
    <xdr:to>
      <xdr:col>10</xdr:col>
      <xdr:colOff>369570</xdr:colOff>
      <xdr:row>4</xdr:row>
      <xdr:rowOff>158115</xdr:rowOff>
    </xdr:to>
    <xdr:sp macro="" textlink="">
      <xdr:nvSpPr>
        <xdr:cNvPr id="11" name="U-Turn Arrow 39">
          <a:extLst>
            <a:ext uri="{FF2B5EF4-FFF2-40B4-BE49-F238E27FC236}">
              <a16:creationId xmlns:a16="http://schemas.microsoft.com/office/drawing/2014/main" id="{949F4594-3247-4E31-831F-F9A4049A67E2}"/>
            </a:ext>
          </a:extLst>
        </xdr:cNvPr>
        <xdr:cNvSpPr/>
      </xdr:nvSpPr>
      <xdr:spPr>
        <a:xfrm rot="10800000" flipH="1" flipV="1">
          <a:off x="2373630" y="828040"/>
          <a:ext cx="4853940" cy="13017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311150</xdr:colOff>
      <xdr:row>6</xdr:row>
      <xdr:rowOff>68580</xdr:rowOff>
    </xdr:from>
    <xdr:to>
      <xdr:col>3</xdr:col>
      <xdr:colOff>385445</xdr:colOff>
      <xdr:row>8</xdr:row>
      <xdr:rowOff>118110</xdr:rowOff>
    </xdr:to>
    <xdr:sp macro="" textlink="">
      <xdr:nvSpPr>
        <xdr:cNvPr id="12" name="Down Arrow 40">
          <a:extLst>
            <a:ext uri="{FF2B5EF4-FFF2-40B4-BE49-F238E27FC236}">
              <a16:creationId xmlns:a16="http://schemas.microsoft.com/office/drawing/2014/main" id="{9B0FBDEA-E5F6-4D6C-9B32-C0864ADB39E7}"/>
            </a:ext>
          </a:extLst>
        </xdr:cNvPr>
        <xdr:cNvSpPr/>
      </xdr:nvSpPr>
      <xdr:spPr>
        <a:xfrm>
          <a:off x="23685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528320</xdr:colOff>
      <xdr:row>6</xdr:row>
      <xdr:rowOff>22225</xdr:rowOff>
    </xdr:from>
    <xdr:to>
      <xdr:col>2</xdr:col>
      <xdr:colOff>160655</xdr:colOff>
      <xdr:row>6</xdr:row>
      <xdr:rowOff>130810</xdr:rowOff>
    </xdr:to>
    <xdr:sp macro="" textlink="">
      <xdr:nvSpPr>
        <xdr:cNvPr id="13" name="Right Arrow 41">
          <a:extLst>
            <a:ext uri="{FF2B5EF4-FFF2-40B4-BE49-F238E27FC236}">
              <a16:creationId xmlns:a16="http://schemas.microsoft.com/office/drawing/2014/main" id="{5E957EF2-7149-4201-9BC6-010D82B50710}"/>
            </a:ext>
          </a:extLst>
        </xdr:cNvPr>
        <xdr:cNvSpPr/>
      </xdr:nvSpPr>
      <xdr:spPr>
        <a:xfrm>
          <a:off x="1214120" y="12223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410845</xdr:colOff>
      <xdr:row>4</xdr:row>
      <xdr:rowOff>27305</xdr:rowOff>
    </xdr:from>
    <xdr:to>
      <xdr:col>3</xdr:col>
      <xdr:colOff>276860</xdr:colOff>
      <xdr:row>4</xdr:row>
      <xdr:rowOff>171450</xdr:rowOff>
    </xdr:to>
    <xdr:sp macro="" textlink="">
      <xdr:nvSpPr>
        <xdr:cNvPr id="14" name="U-Turn Arrow 42">
          <a:extLst>
            <a:ext uri="{FF2B5EF4-FFF2-40B4-BE49-F238E27FC236}">
              <a16:creationId xmlns:a16="http://schemas.microsoft.com/office/drawing/2014/main" id="{5722EAA0-B292-44FF-9459-C8E18C95E417}"/>
            </a:ext>
          </a:extLst>
        </xdr:cNvPr>
        <xdr:cNvSpPr/>
      </xdr:nvSpPr>
      <xdr:spPr>
        <a:xfrm rot="10800000" flipH="1" flipV="1">
          <a:off x="1096645" y="827405"/>
          <a:ext cx="1237615" cy="14414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318135</xdr:colOff>
      <xdr:row>6</xdr:row>
      <xdr:rowOff>74930</xdr:rowOff>
    </xdr:from>
    <xdr:to>
      <xdr:col>2</xdr:col>
      <xdr:colOff>392430</xdr:colOff>
      <xdr:row>8</xdr:row>
      <xdr:rowOff>124460</xdr:rowOff>
    </xdr:to>
    <xdr:sp macro="" textlink="">
      <xdr:nvSpPr>
        <xdr:cNvPr id="15" name="Down Arrow 43">
          <a:extLst>
            <a:ext uri="{FF2B5EF4-FFF2-40B4-BE49-F238E27FC236}">
              <a16:creationId xmlns:a16="http://schemas.microsoft.com/office/drawing/2014/main" id="{6D412E4F-593C-4F86-96B0-CED382CB7C40}"/>
            </a:ext>
          </a:extLst>
        </xdr:cNvPr>
        <xdr:cNvSpPr/>
      </xdr:nvSpPr>
      <xdr:spPr>
        <a:xfrm>
          <a:off x="1689735" y="127508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527685</xdr:colOff>
      <xdr:row>8</xdr:row>
      <xdr:rowOff>74930</xdr:rowOff>
    </xdr:from>
    <xdr:to>
      <xdr:col>3</xdr:col>
      <xdr:colOff>160020</xdr:colOff>
      <xdr:row>8</xdr:row>
      <xdr:rowOff>183515</xdr:rowOff>
    </xdr:to>
    <xdr:sp macro="" textlink="">
      <xdr:nvSpPr>
        <xdr:cNvPr id="16" name="Right Arrow 44">
          <a:extLst>
            <a:ext uri="{FF2B5EF4-FFF2-40B4-BE49-F238E27FC236}">
              <a16:creationId xmlns:a16="http://schemas.microsoft.com/office/drawing/2014/main" id="{377C5CCA-DF0B-40AD-8E58-10824CC63D5E}"/>
            </a:ext>
          </a:extLst>
        </xdr:cNvPr>
        <xdr:cNvSpPr/>
      </xdr:nvSpPr>
      <xdr:spPr>
        <a:xfrm>
          <a:off x="1899285" y="16751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527685</xdr:colOff>
      <xdr:row>8</xdr:row>
      <xdr:rowOff>62230</xdr:rowOff>
    </xdr:from>
    <xdr:to>
      <xdr:col>4</xdr:col>
      <xdr:colOff>160020</xdr:colOff>
      <xdr:row>8</xdr:row>
      <xdr:rowOff>170815</xdr:rowOff>
    </xdr:to>
    <xdr:sp macro="" textlink="">
      <xdr:nvSpPr>
        <xdr:cNvPr id="17" name="Right Arrow 45">
          <a:extLst>
            <a:ext uri="{FF2B5EF4-FFF2-40B4-BE49-F238E27FC236}">
              <a16:creationId xmlns:a16="http://schemas.microsoft.com/office/drawing/2014/main" id="{CA335E1F-BFE9-40F6-ABD6-6F2B9C46BC74}"/>
            </a:ext>
          </a:extLst>
        </xdr:cNvPr>
        <xdr:cNvSpPr/>
      </xdr:nvSpPr>
      <xdr:spPr>
        <a:xfrm>
          <a:off x="2585085" y="16624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527685</xdr:colOff>
      <xdr:row>8</xdr:row>
      <xdr:rowOff>69215</xdr:rowOff>
    </xdr:from>
    <xdr:to>
      <xdr:col>5</xdr:col>
      <xdr:colOff>160020</xdr:colOff>
      <xdr:row>8</xdr:row>
      <xdr:rowOff>177800</xdr:rowOff>
    </xdr:to>
    <xdr:sp macro="" textlink="">
      <xdr:nvSpPr>
        <xdr:cNvPr id="18" name="Right Arrow 46">
          <a:extLst>
            <a:ext uri="{FF2B5EF4-FFF2-40B4-BE49-F238E27FC236}">
              <a16:creationId xmlns:a16="http://schemas.microsoft.com/office/drawing/2014/main" id="{9A918187-FB49-416C-B791-F9AC1BEA0E76}"/>
            </a:ext>
          </a:extLst>
        </xdr:cNvPr>
        <xdr:cNvSpPr/>
      </xdr:nvSpPr>
      <xdr:spPr>
        <a:xfrm>
          <a:off x="3270885" y="16694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520065</xdr:colOff>
      <xdr:row>8</xdr:row>
      <xdr:rowOff>75565</xdr:rowOff>
    </xdr:from>
    <xdr:to>
      <xdr:col>6</xdr:col>
      <xdr:colOff>152400</xdr:colOff>
      <xdr:row>8</xdr:row>
      <xdr:rowOff>184150</xdr:rowOff>
    </xdr:to>
    <xdr:sp macro="" textlink="">
      <xdr:nvSpPr>
        <xdr:cNvPr id="19" name="Right Arrow 47">
          <a:extLst>
            <a:ext uri="{FF2B5EF4-FFF2-40B4-BE49-F238E27FC236}">
              <a16:creationId xmlns:a16="http://schemas.microsoft.com/office/drawing/2014/main" id="{88F9B1BB-A69B-4F36-B0D5-C8CFE830F4CD}"/>
            </a:ext>
          </a:extLst>
        </xdr:cNvPr>
        <xdr:cNvSpPr/>
      </xdr:nvSpPr>
      <xdr:spPr>
        <a:xfrm>
          <a:off x="3949065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317500</xdr:colOff>
      <xdr:row>12</xdr:row>
      <xdr:rowOff>46355</xdr:rowOff>
    </xdr:from>
    <xdr:to>
      <xdr:col>8</xdr:col>
      <xdr:colOff>408940</xdr:colOff>
      <xdr:row>13</xdr:row>
      <xdr:rowOff>58420</xdr:rowOff>
    </xdr:to>
    <xdr:sp macro="" textlink="">
      <xdr:nvSpPr>
        <xdr:cNvPr id="20" name="U-Turn Arrow 48">
          <a:extLst>
            <a:ext uri="{FF2B5EF4-FFF2-40B4-BE49-F238E27FC236}">
              <a16:creationId xmlns:a16="http://schemas.microsoft.com/office/drawing/2014/main" id="{7CACF09D-BB85-4941-A0C2-623E26411F48}"/>
            </a:ext>
          </a:extLst>
        </xdr:cNvPr>
        <xdr:cNvSpPr/>
      </xdr:nvSpPr>
      <xdr:spPr>
        <a:xfrm flipV="1">
          <a:off x="4432300" y="2446655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514350</xdr:colOff>
      <xdr:row>6</xdr:row>
      <xdr:rowOff>41910</xdr:rowOff>
    </xdr:from>
    <xdr:to>
      <xdr:col>6</xdr:col>
      <xdr:colOff>146685</xdr:colOff>
      <xdr:row>6</xdr:row>
      <xdr:rowOff>150495</xdr:rowOff>
    </xdr:to>
    <xdr:sp macro="" textlink="">
      <xdr:nvSpPr>
        <xdr:cNvPr id="21" name="Right Arrow 49">
          <a:extLst>
            <a:ext uri="{FF2B5EF4-FFF2-40B4-BE49-F238E27FC236}">
              <a16:creationId xmlns:a16="http://schemas.microsoft.com/office/drawing/2014/main" id="{C612D776-F50F-46A8-817C-FB85288C5F6B}"/>
            </a:ext>
          </a:extLst>
        </xdr:cNvPr>
        <xdr:cNvSpPr/>
      </xdr:nvSpPr>
      <xdr:spPr>
        <a:xfrm>
          <a:off x="3943350" y="124206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360045</xdr:colOff>
      <xdr:row>7</xdr:row>
      <xdr:rowOff>71755</xdr:rowOff>
    </xdr:from>
    <xdr:to>
      <xdr:col>8</xdr:col>
      <xdr:colOff>346075</xdr:colOff>
      <xdr:row>7</xdr:row>
      <xdr:rowOff>154305</xdr:rowOff>
    </xdr:to>
    <xdr:sp macro="" textlink="">
      <xdr:nvSpPr>
        <xdr:cNvPr id="22" name="Up Arrow 50">
          <a:extLst>
            <a:ext uri="{FF2B5EF4-FFF2-40B4-BE49-F238E27FC236}">
              <a16:creationId xmlns:a16="http://schemas.microsoft.com/office/drawing/2014/main" id="{E5C38343-1C61-4E86-AD6F-904042638C66}"/>
            </a:ext>
          </a:extLst>
        </xdr:cNvPr>
        <xdr:cNvSpPr/>
      </xdr:nvSpPr>
      <xdr:spPr>
        <a:xfrm rot="6660000">
          <a:off x="5112385" y="834390"/>
          <a:ext cx="82550" cy="135763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521335</xdr:colOff>
      <xdr:row>8</xdr:row>
      <xdr:rowOff>81915</xdr:rowOff>
    </xdr:from>
    <xdr:to>
      <xdr:col>8</xdr:col>
      <xdr:colOff>153670</xdr:colOff>
      <xdr:row>8</xdr:row>
      <xdr:rowOff>190500</xdr:rowOff>
    </xdr:to>
    <xdr:sp macro="" textlink="">
      <xdr:nvSpPr>
        <xdr:cNvPr id="23" name="Right Arrow 51">
          <a:extLst>
            <a:ext uri="{FF2B5EF4-FFF2-40B4-BE49-F238E27FC236}">
              <a16:creationId xmlns:a16="http://schemas.microsoft.com/office/drawing/2014/main" id="{58434DAA-FA5F-4534-8A5B-3C0922B6DD04}"/>
            </a:ext>
          </a:extLst>
        </xdr:cNvPr>
        <xdr:cNvSpPr/>
      </xdr:nvSpPr>
      <xdr:spPr>
        <a:xfrm rot="10800000">
          <a:off x="5321935" y="16821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527050</xdr:colOff>
      <xdr:row>8</xdr:row>
      <xdr:rowOff>88265</xdr:rowOff>
    </xdr:from>
    <xdr:to>
      <xdr:col>10</xdr:col>
      <xdr:colOff>159385</xdr:colOff>
      <xdr:row>8</xdr:row>
      <xdr:rowOff>196850</xdr:rowOff>
    </xdr:to>
    <xdr:sp macro="" textlink="">
      <xdr:nvSpPr>
        <xdr:cNvPr id="24" name="Right Arrow 52">
          <a:extLst>
            <a:ext uri="{FF2B5EF4-FFF2-40B4-BE49-F238E27FC236}">
              <a16:creationId xmlns:a16="http://schemas.microsoft.com/office/drawing/2014/main" id="{E12A2C7E-40C5-42AB-9FE3-6501F1982DAF}"/>
            </a:ext>
          </a:extLst>
        </xdr:cNvPr>
        <xdr:cNvSpPr/>
      </xdr:nvSpPr>
      <xdr:spPr>
        <a:xfrm>
          <a:off x="6699250" y="16884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553720</xdr:colOff>
      <xdr:row>6</xdr:row>
      <xdr:rowOff>15875</xdr:rowOff>
    </xdr:from>
    <xdr:to>
      <xdr:col>11</xdr:col>
      <xdr:colOff>186055</xdr:colOff>
      <xdr:row>6</xdr:row>
      <xdr:rowOff>124460</xdr:rowOff>
    </xdr:to>
    <xdr:sp macro="" textlink="">
      <xdr:nvSpPr>
        <xdr:cNvPr id="25" name="Right Arrow 53">
          <a:extLst>
            <a:ext uri="{FF2B5EF4-FFF2-40B4-BE49-F238E27FC236}">
              <a16:creationId xmlns:a16="http://schemas.microsoft.com/office/drawing/2014/main" id="{3193E165-FC4B-4EB4-A9B3-1A6330BC914D}"/>
            </a:ext>
          </a:extLst>
        </xdr:cNvPr>
        <xdr:cNvSpPr/>
      </xdr:nvSpPr>
      <xdr:spPr>
        <a:xfrm>
          <a:off x="7411720" y="12160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351790</xdr:colOff>
      <xdr:row>7</xdr:row>
      <xdr:rowOff>60960</xdr:rowOff>
    </xdr:from>
    <xdr:to>
      <xdr:col>11</xdr:col>
      <xdr:colOff>417830</xdr:colOff>
      <xdr:row>7</xdr:row>
      <xdr:rowOff>137160</xdr:rowOff>
    </xdr:to>
    <xdr:sp macro="" textlink="">
      <xdr:nvSpPr>
        <xdr:cNvPr id="26" name="Left-Right Arrow 54">
          <a:extLst>
            <a:ext uri="{FF2B5EF4-FFF2-40B4-BE49-F238E27FC236}">
              <a16:creationId xmlns:a16="http://schemas.microsoft.com/office/drawing/2014/main" id="{326D5B8D-7ACB-4F62-89B4-083781DD0FD8}"/>
            </a:ext>
          </a:extLst>
        </xdr:cNvPr>
        <xdr:cNvSpPr/>
      </xdr:nvSpPr>
      <xdr:spPr>
        <a:xfrm rot="18900000">
          <a:off x="7209790" y="1461135"/>
          <a:ext cx="751840" cy="762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323850</xdr:colOff>
      <xdr:row>6</xdr:row>
      <xdr:rowOff>68580</xdr:rowOff>
    </xdr:from>
    <xdr:to>
      <xdr:col>9</xdr:col>
      <xdr:colOff>398145</xdr:colOff>
      <xdr:row>8</xdr:row>
      <xdr:rowOff>118110</xdr:rowOff>
    </xdr:to>
    <xdr:sp macro="" textlink="">
      <xdr:nvSpPr>
        <xdr:cNvPr id="27" name="Down Arrow 55">
          <a:extLst>
            <a:ext uri="{FF2B5EF4-FFF2-40B4-BE49-F238E27FC236}">
              <a16:creationId xmlns:a16="http://schemas.microsoft.com/office/drawing/2014/main" id="{9A877690-7B05-40E1-A4D2-CE7EEA5FEF45}"/>
            </a:ext>
          </a:extLst>
        </xdr:cNvPr>
        <xdr:cNvSpPr/>
      </xdr:nvSpPr>
      <xdr:spPr>
        <a:xfrm>
          <a:off x="64960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316865</xdr:colOff>
      <xdr:row>6</xdr:row>
      <xdr:rowOff>68580</xdr:rowOff>
    </xdr:from>
    <xdr:to>
      <xdr:col>12</xdr:col>
      <xdr:colOff>391160</xdr:colOff>
      <xdr:row>8</xdr:row>
      <xdr:rowOff>118110</xdr:rowOff>
    </xdr:to>
    <xdr:sp macro="" textlink="">
      <xdr:nvSpPr>
        <xdr:cNvPr id="28" name="Down Arrow 56">
          <a:extLst>
            <a:ext uri="{FF2B5EF4-FFF2-40B4-BE49-F238E27FC236}">
              <a16:creationId xmlns:a16="http://schemas.microsoft.com/office/drawing/2014/main" id="{0420D706-E030-47D9-B42C-B8A1F2421B9F}"/>
            </a:ext>
          </a:extLst>
        </xdr:cNvPr>
        <xdr:cNvSpPr/>
      </xdr:nvSpPr>
      <xdr:spPr>
        <a:xfrm>
          <a:off x="8546465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295275</xdr:colOff>
      <xdr:row>3</xdr:row>
      <xdr:rowOff>34925</xdr:rowOff>
    </xdr:from>
    <xdr:to>
      <xdr:col>13</xdr:col>
      <xdr:colOff>313690</xdr:colOff>
      <xdr:row>3</xdr:row>
      <xdr:rowOff>196850</xdr:rowOff>
    </xdr:to>
    <xdr:sp macro="" textlink="">
      <xdr:nvSpPr>
        <xdr:cNvPr id="29" name="U-Turn Arrow 57">
          <a:extLst>
            <a:ext uri="{FF2B5EF4-FFF2-40B4-BE49-F238E27FC236}">
              <a16:creationId xmlns:a16="http://schemas.microsoft.com/office/drawing/2014/main" id="{162E44B0-B73E-45A7-8C31-E487F1DA3FCC}"/>
            </a:ext>
          </a:extLst>
        </xdr:cNvPr>
        <xdr:cNvSpPr/>
      </xdr:nvSpPr>
      <xdr:spPr>
        <a:xfrm rot="10800000" flipV="1">
          <a:off x="3038475" y="635000"/>
          <a:ext cx="6190615" cy="16192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309245</xdr:colOff>
      <xdr:row>4</xdr:row>
      <xdr:rowOff>35560</xdr:rowOff>
    </xdr:from>
    <xdr:to>
      <xdr:col>14</xdr:col>
      <xdr:colOff>332740</xdr:colOff>
      <xdr:row>4</xdr:row>
      <xdr:rowOff>173990</xdr:rowOff>
    </xdr:to>
    <xdr:sp macro="" textlink="">
      <xdr:nvSpPr>
        <xdr:cNvPr id="30" name="U-Turn Arrow 58">
          <a:extLst>
            <a:ext uri="{FF2B5EF4-FFF2-40B4-BE49-F238E27FC236}">
              <a16:creationId xmlns:a16="http://schemas.microsoft.com/office/drawing/2014/main" id="{F94F4F56-C29C-40ED-823F-8702CAEA6EEA}"/>
            </a:ext>
          </a:extLst>
        </xdr:cNvPr>
        <xdr:cNvSpPr/>
      </xdr:nvSpPr>
      <xdr:spPr>
        <a:xfrm rot="10800000" flipV="1">
          <a:off x="7853045" y="835660"/>
          <a:ext cx="2080895" cy="13843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541020</xdr:colOff>
      <xdr:row>6</xdr:row>
      <xdr:rowOff>28575</xdr:rowOff>
    </xdr:from>
    <xdr:to>
      <xdr:col>14</xdr:col>
      <xdr:colOff>173355</xdr:colOff>
      <xdr:row>6</xdr:row>
      <xdr:rowOff>137160</xdr:rowOff>
    </xdr:to>
    <xdr:sp macro="" textlink="">
      <xdr:nvSpPr>
        <xdr:cNvPr id="31" name="Right Arrow 59">
          <a:extLst>
            <a:ext uri="{FF2B5EF4-FFF2-40B4-BE49-F238E27FC236}">
              <a16:creationId xmlns:a16="http://schemas.microsoft.com/office/drawing/2014/main" id="{E1388B0A-369B-4225-9257-1A8270A3C693}"/>
            </a:ext>
          </a:extLst>
        </xdr:cNvPr>
        <xdr:cNvSpPr/>
      </xdr:nvSpPr>
      <xdr:spPr>
        <a:xfrm rot="10800000">
          <a:off x="9456420" y="12287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337185</xdr:colOff>
      <xdr:row>8</xdr:row>
      <xdr:rowOff>134620</xdr:rowOff>
    </xdr:from>
    <xdr:to>
      <xdr:col>13</xdr:col>
      <xdr:colOff>167005</xdr:colOff>
      <xdr:row>9</xdr:row>
      <xdr:rowOff>18415</xdr:rowOff>
    </xdr:to>
    <xdr:sp macro="" textlink="">
      <xdr:nvSpPr>
        <xdr:cNvPr id="32" name="Notched Right Arrow 60">
          <a:extLst>
            <a:ext uri="{FF2B5EF4-FFF2-40B4-BE49-F238E27FC236}">
              <a16:creationId xmlns:a16="http://schemas.microsoft.com/office/drawing/2014/main" id="{9BAFA4FD-56E7-4FF8-8C45-9ECD2C35F5C0}"/>
            </a:ext>
          </a:extLst>
        </xdr:cNvPr>
        <xdr:cNvSpPr/>
      </xdr:nvSpPr>
      <xdr:spPr>
        <a:xfrm>
          <a:off x="8566785" y="1734820"/>
          <a:ext cx="515620" cy="83820"/>
        </a:xfrm>
        <a:prstGeom prst="notchedRightArrow">
          <a:avLst/>
        </a:prstGeom>
        <a:solidFill>
          <a:schemeClr val="accent6">
            <a:lumMod val="75000"/>
          </a:schemeClr>
        </a:solidFill>
        <a:ln>
          <a:gradFill>
            <a:gsLst>
              <a:gs pos="0">
                <a:srgbClr val="9EE256"/>
              </a:gs>
              <a:gs pos="100000">
                <a:srgbClr val="52762D"/>
              </a:gs>
            </a:gsLst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26</xdr:col>
      <xdr:colOff>45085</xdr:colOff>
      <xdr:row>25</xdr:row>
      <xdr:rowOff>18415</xdr:rowOff>
    </xdr:from>
    <xdr:to>
      <xdr:col>26</xdr:col>
      <xdr:colOff>217805</xdr:colOff>
      <xdr:row>26</xdr:row>
      <xdr:rowOff>12700</xdr:rowOff>
    </xdr:to>
    <xdr:sp macro="" textlink="">
      <xdr:nvSpPr>
        <xdr:cNvPr id="33" name="Chevron 61">
          <a:extLst>
            <a:ext uri="{FF2B5EF4-FFF2-40B4-BE49-F238E27FC236}">
              <a16:creationId xmlns:a16="http://schemas.microsoft.com/office/drawing/2014/main" id="{4E5ADC78-E2E7-405A-83D5-4AFB2C1C8FA8}"/>
            </a:ext>
          </a:extLst>
        </xdr:cNvPr>
        <xdr:cNvSpPr/>
      </xdr:nvSpPr>
      <xdr:spPr>
        <a:xfrm>
          <a:off x="17875885" y="5019040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331470</xdr:colOff>
      <xdr:row>31</xdr:row>
      <xdr:rowOff>38100</xdr:rowOff>
    </xdr:from>
    <xdr:to>
      <xdr:col>25</xdr:col>
      <xdr:colOff>410210</xdr:colOff>
      <xdr:row>34</xdr:row>
      <xdr:rowOff>23495</xdr:rowOff>
    </xdr:to>
    <xdr:sp macro="" textlink="">
      <xdr:nvSpPr>
        <xdr:cNvPr id="34" name="U-Turn Arrow 63">
          <a:extLst>
            <a:ext uri="{FF2B5EF4-FFF2-40B4-BE49-F238E27FC236}">
              <a16:creationId xmlns:a16="http://schemas.microsoft.com/office/drawing/2014/main" id="{7E09F3EF-2E54-4570-8407-3C5CA04830FA}"/>
            </a:ext>
          </a:extLst>
        </xdr:cNvPr>
        <xdr:cNvSpPr/>
      </xdr:nvSpPr>
      <xdr:spPr>
        <a:xfrm rot="10800000">
          <a:off x="8561070" y="6238875"/>
          <a:ext cx="8994140" cy="585470"/>
        </a:xfrm>
        <a:prstGeom prst="uturnArrow">
          <a:avLst>
            <a:gd name="adj1" fmla="val 13172"/>
            <a:gd name="adj2" fmla="val 11288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481965</xdr:colOff>
      <xdr:row>26</xdr:row>
      <xdr:rowOff>12700</xdr:rowOff>
    </xdr:from>
    <xdr:to>
      <xdr:col>24</xdr:col>
      <xdr:colOff>245110</xdr:colOff>
      <xdr:row>26</xdr:row>
      <xdr:rowOff>165100</xdr:rowOff>
    </xdr:to>
    <xdr:sp macro="" textlink="">
      <xdr:nvSpPr>
        <xdr:cNvPr id="35" name="Right Arrow 65">
          <a:extLst>
            <a:ext uri="{FF2B5EF4-FFF2-40B4-BE49-F238E27FC236}">
              <a16:creationId xmlns:a16="http://schemas.microsoft.com/office/drawing/2014/main" id="{D0A5E501-206E-4214-BCAF-2AF50697116C}"/>
            </a:ext>
          </a:extLst>
        </xdr:cNvPr>
        <xdr:cNvSpPr/>
      </xdr:nvSpPr>
      <xdr:spPr>
        <a:xfrm>
          <a:off x="16255365" y="5213350"/>
          <a:ext cx="44894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24</xdr:col>
      <xdr:colOff>457200</xdr:colOff>
      <xdr:row>26</xdr:row>
      <xdr:rowOff>27305</xdr:rowOff>
    </xdr:from>
    <xdr:to>
      <xdr:col>25</xdr:col>
      <xdr:colOff>219710</xdr:colOff>
      <xdr:row>26</xdr:row>
      <xdr:rowOff>170815</xdr:rowOff>
    </xdr:to>
    <xdr:sp macro="" textlink="">
      <xdr:nvSpPr>
        <xdr:cNvPr id="36" name="Right Arrow 66">
          <a:extLst>
            <a:ext uri="{FF2B5EF4-FFF2-40B4-BE49-F238E27FC236}">
              <a16:creationId xmlns:a16="http://schemas.microsoft.com/office/drawing/2014/main" id="{E9CC1AD5-D702-40F5-B3C0-AD987EF7618A}"/>
            </a:ext>
          </a:extLst>
        </xdr:cNvPr>
        <xdr:cNvSpPr/>
      </xdr:nvSpPr>
      <xdr:spPr>
        <a:xfrm rot="10800000">
          <a:off x="16916400" y="5227955"/>
          <a:ext cx="448310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351790</xdr:colOff>
      <xdr:row>24</xdr:row>
      <xdr:rowOff>67310</xdr:rowOff>
    </xdr:from>
    <xdr:to>
      <xdr:col>12</xdr:col>
      <xdr:colOff>506730</xdr:colOff>
      <xdr:row>26</xdr:row>
      <xdr:rowOff>116840</xdr:rowOff>
    </xdr:to>
    <xdr:sp macro="" textlink="">
      <xdr:nvSpPr>
        <xdr:cNvPr id="37" name="Down Arrow 67">
          <a:extLst>
            <a:ext uri="{FF2B5EF4-FFF2-40B4-BE49-F238E27FC236}">
              <a16:creationId xmlns:a16="http://schemas.microsoft.com/office/drawing/2014/main" id="{1BD75188-3038-4B4E-823B-088E1401CD94}"/>
            </a:ext>
          </a:extLst>
        </xdr:cNvPr>
        <xdr:cNvSpPr/>
      </xdr:nvSpPr>
      <xdr:spPr>
        <a:xfrm rot="10800000">
          <a:off x="8581390" y="4867910"/>
          <a:ext cx="15494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408940</xdr:colOff>
      <xdr:row>31</xdr:row>
      <xdr:rowOff>19685</xdr:rowOff>
    </xdr:from>
    <xdr:to>
      <xdr:col>16</xdr:col>
      <xdr:colOff>144780</xdr:colOff>
      <xdr:row>32</xdr:row>
      <xdr:rowOff>31750</xdr:rowOff>
    </xdr:to>
    <xdr:sp macro="" textlink="">
      <xdr:nvSpPr>
        <xdr:cNvPr id="38" name="U-Turn Arrow 68">
          <a:extLst>
            <a:ext uri="{FF2B5EF4-FFF2-40B4-BE49-F238E27FC236}">
              <a16:creationId xmlns:a16="http://schemas.microsoft.com/office/drawing/2014/main" id="{6DAC164B-CEAE-4B16-A375-302C921CF033}"/>
            </a:ext>
          </a:extLst>
        </xdr:cNvPr>
        <xdr:cNvSpPr/>
      </xdr:nvSpPr>
      <xdr:spPr>
        <a:xfrm flipV="1">
          <a:off x="9324340" y="6220460"/>
          <a:ext cx="1793240" cy="212090"/>
        </a:xfrm>
        <a:prstGeom prst="uturnArrow">
          <a:avLst>
            <a:gd name="adj1" fmla="val 3545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593090</xdr:colOff>
      <xdr:row>24</xdr:row>
      <xdr:rowOff>24130</xdr:rowOff>
    </xdr:from>
    <xdr:to>
      <xdr:col>14</xdr:col>
      <xdr:colOff>225425</xdr:colOff>
      <xdr:row>24</xdr:row>
      <xdr:rowOff>176530</xdr:rowOff>
    </xdr:to>
    <xdr:sp macro="" textlink="">
      <xdr:nvSpPr>
        <xdr:cNvPr id="39" name="Right Arrow 69">
          <a:extLst>
            <a:ext uri="{FF2B5EF4-FFF2-40B4-BE49-F238E27FC236}">
              <a16:creationId xmlns:a16="http://schemas.microsoft.com/office/drawing/2014/main" id="{B4E013D4-FCAB-4B06-945E-60C3B99B7464}"/>
            </a:ext>
          </a:extLst>
        </xdr:cNvPr>
        <xdr:cNvSpPr/>
      </xdr:nvSpPr>
      <xdr:spPr>
        <a:xfrm>
          <a:off x="9508490" y="4824730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615950</xdr:colOff>
      <xdr:row>24</xdr:row>
      <xdr:rowOff>21590</xdr:rowOff>
    </xdr:from>
    <xdr:to>
      <xdr:col>15</xdr:col>
      <xdr:colOff>247650</xdr:colOff>
      <xdr:row>24</xdr:row>
      <xdr:rowOff>173990</xdr:rowOff>
    </xdr:to>
    <xdr:sp macro="" textlink="">
      <xdr:nvSpPr>
        <xdr:cNvPr id="40" name="Right Arrow 70">
          <a:extLst>
            <a:ext uri="{FF2B5EF4-FFF2-40B4-BE49-F238E27FC236}">
              <a16:creationId xmlns:a16="http://schemas.microsoft.com/office/drawing/2014/main" id="{3D9F9791-92F8-4FFE-97C4-87C7DF3E5B5A}"/>
            </a:ext>
          </a:extLst>
        </xdr:cNvPr>
        <xdr:cNvSpPr/>
      </xdr:nvSpPr>
      <xdr:spPr>
        <a:xfrm>
          <a:off x="10217150" y="4822190"/>
          <a:ext cx="31750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17</xdr:col>
      <xdr:colOff>368300</xdr:colOff>
      <xdr:row>24</xdr:row>
      <xdr:rowOff>75565</xdr:rowOff>
    </xdr:from>
    <xdr:to>
      <xdr:col>17</xdr:col>
      <xdr:colOff>515620</xdr:colOff>
      <xdr:row>26</xdr:row>
      <xdr:rowOff>125095</xdr:rowOff>
    </xdr:to>
    <xdr:sp macro="" textlink="">
      <xdr:nvSpPr>
        <xdr:cNvPr id="41" name="Down Arrow 71">
          <a:extLst>
            <a:ext uri="{FF2B5EF4-FFF2-40B4-BE49-F238E27FC236}">
              <a16:creationId xmlns:a16="http://schemas.microsoft.com/office/drawing/2014/main" id="{E0F5C875-C0D7-4601-B27C-95A044A7FF5A}"/>
            </a:ext>
          </a:extLst>
        </xdr:cNvPr>
        <xdr:cNvSpPr/>
      </xdr:nvSpPr>
      <xdr:spPr>
        <a:xfrm rot="10800000">
          <a:off x="12026900" y="4876165"/>
          <a:ext cx="1473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615950</xdr:colOff>
      <xdr:row>26</xdr:row>
      <xdr:rowOff>39370</xdr:rowOff>
    </xdr:from>
    <xdr:to>
      <xdr:col>19</xdr:col>
      <xdr:colOff>247650</xdr:colOff>
      <xdr:row>26</xdr:row>
      <xdr:rowOff>184150</xdr:rowOff>
    </xdr:to>
    <xdr:sp macro="" textlink="">
      <xdr:nvSpPr>
        <xdr:cNvPr id="42" name="Right Arrow 72">
          <a:extLst>
            <a:ext uri="{FF2B5EF4-FFF2-40B4-BE49-F238E27FC236}">
              <a16:creationId xmlns:a16="http://schemas.microsoft.com/office/drawing/2014/main" id="{6CFAB45B-7E7F-4399-A489-8D950488837A}"/>
            </a:ext>
          </a:extLst>
        </xdr:cNvPr>
        <xdr:cNvSpPr/>
      </xdr:nvSpPr>
      <xdr:spPr>
        <a:xfrm>
          <a:off x="12960350" y="5240020"/>
          <a:ext cx="31750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600710</xdr:colOff>
      <xdr:row>24</xdr:row>
      <xdr:rowOff>28575</xdr:rowOff>
    </xdr:from>
    <xdr:to>
      <xdr:col>6</xdr:col>
      <xdr:colOff>233045</xdr:colOff>
      <xdr:row>24</xdr:row>
      <xdr:rowOff>152400</xdr:rowOff>
    </xdr:to>
    <xdr:sp macro="" textlink="">
      <xdr:nvSpPr>
        <xdr:cNvPr id="43" name="Right Arrow 73">
          <a:extLst>
            <a:ext uri="{FF2B5EF4-FFF2-40B4-BE49-F238E27FC236}">
              <a16:creationId xmlns:a16="http://schemas.microsoft.com/office/drawing/2014/main" id="{5B63B429-8B52-4E07-902E-A15F044ADC88}"/>
            </a:ext>
          </a:extLst>
        </xdr:cNvPr>
        <xdr:cNvSpPr/>
      </xdr:nvSpPr>
      <xdr:spPr>
        <a:xfrm rot="10800000">
          <a:off x="4029710" y="4829175"/>
          <a:ext cx="31813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615315</xdr:colOff>
      <xdr:row>24</xdr:row>
      <xdr:rowOff>22225</xdr:rowOff>
    </xdr:from>
    <xdr:to>
      <xdr:col>8</xdr:col>
      <xdr:colOff>247650</xdr:colOff>
      <xdr:row>24</xdr:row>
      <xdr:rowOff>152400</xdr:rowOff>
    </xdr:to>
    <xdr:sp macro="" textlink="">
      <xdr:nvSpPr>
        <xdr:cNvPr id="44" name="Right Arrow 74">
          <a:extLst>
            <a:ext uri="{FF2B5EF4-FFF2-40B4-BE49-F238E27FC236}">
              <a16:creationId xmlns:a16="http://schemas.microsoft.com/office/drawing/2014/main" id="{83DDB2FF-A2CA-4604-9EEE-98793D1548DB}"/>
            </a:ext>
          </a:extLst>
        </xdr:cNvPr>
        <xdr:cNvSpPr/>
      </xdr:nvSpPr>
      <xdr:spPr>
        <a:xfrm>
          <a:off x="5415915" y="4822825"/>
          <a:ext cx="318135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377825</xdr:colOff>
      <xdr:row>15</xdr:row>
      <xdr:rowOff>99060</xdr:rowOff>
    </xdr:from>
    <xdr:to>
      <xdr:col>18</xdr:col>
      <xdr:colOff>88265</xdr:colOff>
      <xdr:row>19</xdr:row>
      <xdr:rowOff>173355</xdr:rowOff>
    </xdr:to>
    <xdr:sp macro="" textlink="">
      <xdr:nvSpPr>
        <xdr:cNvPr id="45" name="U-Turn Arrow 75">
          <a:extLst>
            <a:ext uri="{FF2B5EF4-FFF2-40B4-BE49-F238E27FC236}">
              <a16:creationId xmlns:a16="http://schemas.microsoft.com/office/drawing/2014/main" id="{B21B0B86-4EBE-46A7-81C2-D5EA167DA30F}"/>
            </a:ext>
          </a:extLst>
        </xdr:cNvPr>
        <xdr:cNvSpPr/>
      </xdr:nvSpPr>
      <xdr:spPr>
        <a:xfrm>
          <a:off x="3121025" y="3099435"/>
          <a:ext cx="9311640" cy="874395"/>
        </a:xfrm>
        <a:prstGeom prst="uturnArrow">
          <a:avLst>
            <a:gd name="adj1" fmla="val 9024"/>
            <a:gd name="adj2" fmla="val 6736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367665</xdr:colOff>
      <xdr:row>24</xdr:row>
      <xdr:rowOff>87630</xdr:rowOff>
    </xdr:from>
    <xdr:to>
      <xdr:col>5</xdr:col>
      <xdr:colOff>495935</xdr:colOff>
      <xdr:row>26</xdr:row>
      <xdr:rowOff>137160</xdr:rowOff>
    </xdr:to>
    <xdr:sp macro="" textlink="">
      <xdr:nvSpPr>
        <xdr:cNvPr id="46" name="Down Arrow 76">
          <a:extLst>
            <a:ext uri="{FF2B5EF4-FFF2-40B4-BE49-F238E27FC236}">
              <a16:creationId xmlns:a16="http://schemas.microsoft.com/office/drawing/2014/main" id="{C6EC31B7-43FD-42C9-9C2E-3A6CB7163BDF}"/>
            </a:ext>
          </a:extLst>
        </xdr:cNvPr>
        <xdr:cNvSpPr/>
      </xdr:nvSpPr>
      <xdr:spPr>
        <a:xfrm>
          <a:off x="3796665" y="4888230"/>
          <a:ext cx="12827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335280</xdr:colOff>
      <xdr:row>18</xdr:row>
      <xdr:rowOff>28575</xdr:rowOff>
    </xdr:from>
    <xdr:to>
      <xdr:col>3</xdr:col>
      <xdr:colOff>444500</xdr:colOff>
      <xdr:row>19</xdr:row>
      <xdr:rowOff>187325</xdr:rowOff>
    </xdr:to>
    <xdr:sp macro="" textlink="">
      <xdr:nvSpPr>
        <xdr:cNvPr id="47" name="U-Turn Arrow 77">
          <a:extLst>
            <a:ext uri="{FF2B5EF4-FFF2-40B4-BE49-F238E27FC236}">
              <a16:creationId xmlns:a16="http://schemas.microsoft.com/office/drawing/2014/main" id="{77BAE2F4-597F-4A2B-A9D3-C37DA3B2C59E}"/>
            </a:ext>
          </a:extLst>
        </xdr:cNvPr>
        <xdr:cNvSpPr/>
      </xdr:nvSpPr>
      <xdr:spPr>
        <a:xfrm rot="10800000" flipH="1" flipV="1">
          <a:off x="1021080" y="3629025"/>
          <a:ext cx="1480820" cy="358775"/>
        </a:xfrm>
        <a:prstGeom prst="uturnArrow">
          <a:avLst>
            <a:gd name="adj1" fmla="val 19786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344805</xdr:colOff>
      <xdr:row>18</xdr:row>
      <xdr:rowOff>166370</xdr:rowOff>
    </xdr:from>
    <xdr:to>
      <xdr:col>4</xdr:col>
      <xdr:colOff>363220</xdr:colOff>
      <xdr:row>19</xdr:row>
      <xdr:rowOff>173355</xdr:rowOff>
    </xdr:to>
    <xdr:sp macro="" textlink="">
      <xdr:nvSpPr>
        <xdr:cNvPr id="48" name="U-Turn Arrow 78">
          <a:extLst>
            <a:ext uri="{FF2B5EF4-FFF2-40B4-BE49-F238E27FC236}">
              <a16:creationId xmlns:a16="http://schemas.microsoft.com/office/drawing/2014/main" id="{EDA7E96E-432C-4848-B839-54BB6E5F14E2}"/>
            </a:ext>
          </a:extLst>
        </xdr:cNvPr>
        <xdr:cNvSpPr/>
      </xdr:nvSpPr>
      <xdr:spPr>
        <a:xfrm rot="10800000" flipH="1" flipV="1">
          <a:off x="1716405" y="3766820"/>
          <a:ext cx="1390015" cy="207010"/>
        </a:xfrm>
        <a:prstGeom prst="uturnArrow">
          <a:avLst>
            <a:gd name="adj1" fmla="val 3602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351155</xdr:colOff>
      <xdr:row>24</xdr:row>
      <xdr:rowOff>71120</xdr:rowOff>
    </xdr:from>
    <xdr:to>
      <xdr:col>3</xdr:col>
      <xdr:colOff>485775</xdr:colOff>
      <xdr:row>26</xdr:row>
      <xdr:rowOff>120650</xdr:rowOff>
    </xdr:to>
    <xdr:sp macro="" textlink="">
      <xdr:nvSpPr>
        <xdr:cNvPr id="49" name="Down Arrow 79">
          <a:extLst>
            <a:ext uri="{FF2B5EF4-FFF2-40B4-BE49-F238E27FC236}">
              <a16:creationId xmlns:a16="http://schemas.microsoft.com/office/drawing/2014/main" id="{53A2A279-DB43-4915-833A-8B0D37BA206C}"/>
            </a:ext>
          </a:extLst>
        </xdr:cNvPr>
        <xdr:cNvSpPr/>
      </xdr:nvSpPr>
      <xdr:spPr>
        <a:xfrm>
          <a:off x="2408555" y="4871720"/>
          <a:ext cx="1346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602615</xdr:colOff>
      <xdr:row>26</xdr:row>
      <xdr:rowOff>81915</xdr:rowOff>
    </xdr:from>
    <xdr:to>
      <xdr:col>4</xdr:col>
      <xdr:colOff>234950</xdr:colOff>
      <xdr:row>26</xdr:row>
      <xdr:rowOff>196215</xdr:rowOff>
    </xdr:to>
    <xdr:sp macro="" textlink="">
      <xdr:nvSpPr>
        <xdr:cNvPr id="50" name="Right Arrow 80">
          <a:extLst>
            <a:ext uri="{FF2B5EF4-FFF2-40B4-BE49-F238E27FC236}">
              <a16:creationId xmlns:a16="http://schemas.microsoft.com/office/drawing/2014/main" id="{AE04449E-DB77-43BB-9974-1AAF9AA22047}"/>
            </a:ext>
          </a:extLst>
        </xdr:cNvPr>
        <xdr:cNvSpPr/>
      </xdr:nvSpPr>
      <xdr:spPr>
        <a:xfrm>
          <a:off x="2660015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624840</xdr:colOff>
      <xdr:row>26</xdr:row>
      <xdr:rowOff>81915</xdr:rowOff>
    </xdr:from>
    <xdr:to>
      <xdr:col>6</xdr:col>
      <xdr:colOff>257175</xdr:colOff>
      <xdr:row>26</xdr:row>
      <xdr:rowOff>196215</xdr:rowOff>
    </xdr:to>
    <xdr:sp macro="" textlink="">
      <xdr:nvSpPr>
        <xdr:cNvPr id="51" name="Right Arrow 81">
          <a:extLst>
            <a:ext uri="{FF2B5EF4-FFF2-40B4-BE49-F238E27FC236}">
              <a16:creationId xmlns:a16="http://schemas.microsoft.com/office/drawing/2014/main" id="{F253A7B3-48F8-43F5-8999-29583015FFC6}"/>
            </a:ext>
          </a:extLst>
        </xdr:cNvPr>
        <xdr:cNvSpPr/>
      </xdr:nvSpPr>
      <xdr:spPr>
        <a:xfrm>
          <a:off x="4053840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610235</xdr:colOff>
      <xdr:row>26</xdr:row>
      <xdr:rowOff>50800</xdr:rowOff>
    </xdr:from>
    <xdr:to>
      <xdr:col>8</xdr:col>
      <xdr:colOff>242570</xdr:colOff>
      <xdr:row>26</xdr:row>
      <xdr:rowOff>186055</xdr:rowOff>
    </xdr:to>
    <xdr:sp macro="" textlink="">
      <xdr:nvSpPr>
        <xdr:cNvPr id="52" name="Right Arrow 82">
          <a:extLst>
            <a:ext uri="{FF2B5EF4-FFF2-40B4-BE49-F238E27FC236}">
              <a16:creationId xmlns:a16="http://schemas.microsoft.com/office/drawing/2014/main" id="{4E5D02DF-CE30-4A89-B804-2A338BFB30AB}"/>
            </a:ext>
          </a:extLst>
        </xdr:cNvPr>
        <xdr:cNvSpPr/>
      </xdr:nvSpPr>
      <xdr:spPr>
        <a:xfrm>
          <a:off x="5410835" y="5251450"/>
          <a:ext cx="318135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624840</xdr:colOff>
      <xdr:row>26</xdr:row>
      <xdr:rowOff>41910</xdr:rowOff>
    </xdr:from>
    <xdr:to>
      <xdr:col>10</xdr:col>
      <xdr:colOff>256540</xdr:colOff>
      <xdr:row>26</xdr:row>
      <xdr:rowOff>172085</xdr:rowOff>
    </xdr:to>
    <xdr:sp macro="" textlink="">
      <xdr:nvSpPr>
        <xdr:cNvPr id="53" name="Right Arrow 83">
          <a:extLst>
            <a:ext uri="{FF2B5EF4-FFF2-40B4-BE49-F238E27FC236}">
              <a16:creationId xmlns:a16="http://schemas.microsoft.com/office/drawing/2014/main" id="{B91B55E1-5292-4132-8792-3F8F1F8BE768}"/>
            </a:ext>
          </a:extLst>
        </xdr:cNvPr>
        <xdr:cNvSpPr/>
      </xdr:nvSpPr>
      <xdr:spPr>
        <a:xfrm>
          <a:off x="6797040" y="5242560"/>
          <a:ext cx="317500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760095</xdr:colOff>
      <xdr:row>31</xdr:row>
      <xdr:rowOff>40005</xdr:rowOff>
    </xdr:from>
    <xdr:to>
      <xdr:col>14</xdr:col>
      <xdr:colOff>483870</xdr:colOff>
      <xdr:row>33</xdr:row>
      <xdr:rowOff>8255</xdr:rowOff>
    </xdr:to>
    <xdr:sp macro="" textlink="">
      <xdr:nvSpPr>
        <xdr:cNvPr id="54" name="U-Turn Arrow 84">
          <a:extLst>
            <a:ext uri="{FF2B5EF4-FFF2-40B4-BE49-F238E27FC236}">
              <a16:creationId xmlns:a16="http://schemas.microsoft.com/office/drawing/2014/main" id="{519D71C3-74C0-4780-B4AF-005CF0200EB9}"/>
            </a:ext>
          </a:extLst>
        </xdr:cNvPr>
        <xdr:cNvSpPr/>
      </xdr:nvSpPr>
      <xdr:spPr>
        <a:xfrm flipV="1">
          <a:off x="7541895" y="6240780"/>
          <a:ext cx="2543175" cy="368300"/>
        </a:xfrm>
        <a:prstGeom prst="uturnArrow">
          <a:avLst>
            <a:gd name="adj1" fmla="val 18055"/>
            <a:gd name="adj2" fmla="val 20411"/>
            <a:gd name="adj3" fmla="val 25042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390525</xdr:colOff>
      <xdr:row>18</xdr:row>
      <xdr:rowOff>8890</xdr:rowOff>
    </xdr:from>
    <xdr:to>
      <xdr:col>11</xdr:col>
      <xdr:colOff>466725</xdr:colOff>
      <xdr:row>19</xdr:row>
      <xdr:rowOff>167640</xdr:rowOff>
    </xdr:to>
    <xdr:sp macro="" textlink="">
      <xdr:nvSpPr>
        <xdr:cNvPr id="55" name="U-Turn Arrow 85">
          <a:extLst>
            <a:ext uri="{FF2B5EF4-FFF2-40B4-BE49-F238E27FC236}">
              <a16:creationId xmlns:a16="http://schemas.microsoft.com/office/drawing/2014/main" id="{AD32867F-E0DE-4366-B7DD-30C05AF47A4A}"/>
            </a:ext>
          </a:extLst>
        </xdr:cNvPr>
        <xdr:cNvSpPr/>
      </xdr:nvSpPr>
      <xdr:spPr>
        <a:xfrm rot="10800000" flipH="1" flipV="1">
          <a:off x="5876925" y="3609340"/>
          <a:ext cx="2133600" cy="358775"/>
        </a:xfrm>
        <a:prstGeom prst="uturnArrow">
          <a:avLst>
            <a:gd name="adj1" fmla="val 22750"/>
            <a:gd name="adj2" fmla="val 2192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577850</xdr:colOff>
      <xdr:row>24</xdr:row>
      <xdr:rowOff>20320</xdr:rowOff>
    </xdr:from>
    <xdr:to>
      <xdr:col>9</xdr:col>
      <xdr:colOff>212090</xdr:colOff>
      <xdr:row>24</xdr:row>
      <xdr:rowOff>155575</xdr:rowOff>
    </xdr:to>
    <xdr:sp macro="" textlink="">
      <xdr:nvSpPr>
        <xdr:cNvPr id="56" name="Right Arrow 86">
          <a:extLst>
            <a:ext uri="{FF2B5EF4-FFF2-40B4-BE49-F238E27FC236}">
              <a16:creationId xmlns:a16="http://schemas.microsoft.com/office/drawing/2014/main" id="{E1E535E4-D4D3-4B50-8E0A-5090F2FEA465}"/>
            </a:ext>
          </a:extLst>
        </xdr:cNvPr>
        <xdr:cNvSpPr/>
      </xdr:nvSpPr>
      <xdr:spPr>
        <a:xfrm rot="10800000">
          <a:off x="6064250" y="4820920"/>
          <a:ext cx="320040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388937</xdr:colOff>
      <xdr:row>25</xdr:row>
      <xdr:rowOff>22542</xdr:rowOff>
    </xdr:from>
    <xdr:to>
      <xdr:col>14</xdr:col>
      <xdr:colOff>407987</xdr:colOff>
      <xdr:row>25</xdr:row>
      <xdr:rowOff>159067</xdr:rowOff>
    </xdr:to>
    <xdr:sp macro="" textlink="">
      <xdr:nvSpPr>
        <xdr:cNvPr id="57" name="Down Arrow 87">
          <a:extLst>
            <a:ext uri="{FF2B5EF4-FFF2-40B4-BE49-F238E27FC236}">
              <a16:creationId xmlns:a16="http://schemas.microsoft.com/office/drawing/2014/main" id="{65D76083-D013-4D72-8D01-C12B9DB25406}"/>
            </a:ext>
          </a:extLst>
        </xdr:cNvPr>
        <xdr:cNvSpPr/>
      </xdr:nvSpPr>
      <xdr:spPr>
        <a:xfrm rot="16680000">
          <a:off x="8559799" y="3710305"/>
          <a:ext cx="136525" cy="2762250"/>
        </a:xfrm>
        <a:prstGeom prst="downArrow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615950</xdr:colOff>
      <xdr:row>24</xdr:row>
      <xdr:rowOff>5080</xdr:rowOff>
    </xdr:from>
    <xdr:to>
      <xdr:col>11</xdr:col>
      <xdr:colOff>247015</xdr:colOff>
      <xdr:row>24</xdr:row>
      <xdr:rowOff>148590</xdr:rowOff>
    </xdr:to>
    <xdr:sp macro="" textlink="">
      <xdr:nvSpPr>
        <xdr:cNvPr id="58" name="Right Arrow 88">
          <a:extLst>
            <a:ext uri="{FF2B5EF4-FFF2-40B4-BE49-F238E27FC236}">
              <a16:creationId xmlns:a16="http://schemas.microsoft.com/office/drawing/2014/main" id="{081840FB-19B9-4C31-BAF1-14D8E39997C9}"/>
            </a:ext>
          </a:extLst>
        </xdr:cNvPr>
        <xdr:cNvSpPr/>
      </xdr:nvSpPr>
      <xdr:spPr>
        <a:xfrm rot="10800000">
          <a:off x="7473950" y="4805680"/>
          <a:ext cx="316865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596900</xdr:colOff>
      <xdr:row>26</xdr:row>
      <xdr:rowOff>41275</xdr:rowOff>
    </xdr:from>
    <xdr:to>
      <xdr:col>14</xdr:col>
      <xdr:colOff>229235</xdr:colOff>
      <xdr:row>26</xdr:row>
      <xdr:rowOff>193675</xdr:rowOff>
    </xdr:to>
    <xdr:sp macro="" textlink="">
      <xdr:nvSpPr>
        <xdr:cNvPr id="59" name="Right Arrow 89">
          <a:extLst>
            <a:ext uri="{FF2B5EF4-FFF2-40B4-BE49-F238E27FC236}">
              <a16:creationId xmlns:a16="http://schemas.microsoft.com/office/drawing/2014/main" id="{783F8475-0EC5-4707-A4A8-5688E19CD524}"/>
            </a:ext>
          </a:extLst>
        </xdr:cNvPr>
        <xdr:cNvSpPr/>
      </xdr:nvSpPr>
      <xdr:spPr>
        <a:xfrm rot="10800000">
          <a:off x="9512300" y="5241925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605790</xdr:colOff>
      <xdr:row>26</xdr:row>
      <xdr:rowOff>41275</xdr:rowOff>
    </xdr:from>
    <xdr:to>
      <xdr:col>17</xdr:col>
      <xdr:colOff>238760</xdr:colOff>
      <xdr:row>26</xdr:row>
      <xdr:rowOff>193675</xdr:rowOff>
    </xdr:to>
    <xdr:sp macro="" textlink="">
      <xdr:nvSpPr>
        <xdr:cNvPr id="60" name="Right Arrow 90">
          <a:extLst>
            <a:ext uri="{FF2B5EF4-FFF2-40B4-BE49-F238E27FC236}">
              <a16:creationId xmlns:a16="http://schemas.microsoft.com/office/drawing/2014/main" id="{0E11CD1B-F8D2-4C03-A66C-41F8DFC6C0A0}"/>
            </a:ext>
          </a:extLst>
        </xdr:cNvPr>
        <xdr:cNvSpPr/>
      </xdr:nvSpPr>
      <xdr:spPr>
        <a:xfrm>
          <a:off x="11578590" y="5241925"/>
          <a:ext cx="31877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130175</xdr:colOff>
      <xdr:row>19</xdr:row>
      <xdr:rowOff>9525</xdr:rowOff>
    </xdr:from>
    <xdr:to>
      <xdr:col>20</xdr:col>
      <xdr:colOff>471805</xdr:colOff>
      <xdr:row>19</xdr:row>
      <xdr:rowOff>178435</xdr:rowOff>
    </xdr:to>
    <xdr:sp macro="" textlink="">
      <xdr:nvSpPr>
        <xdr:cNvPr id="61" name="U-Turn Arrow 91">
          <a:extLst>
            <a:ext uri="{FF2B5EF4-FFF2-40B4-BE49-F238E27FC236}">
              <a16:creationId xmlns:a16="http://schemas.microsoft.com/office/drawing/2014/main" id="{6227BFCC-3E8A-48F6-8510-10B4B4CE98A6}"/>
            </a:ext>
          </a:extLst>
        </xdr:cNvPr>
        <xdr:cNvSpPr/>
      </xdr:nvSpPr>
      <xdr:spPr>
        <a:xfrm rot="10800000" flipH="1" flipV="1">
          <a:off x="12474575" y="3810000"/>
          <a:ext cx="1713230" cy="168910"/>
        </a:xfrm>
        <a:prstGeom prst="uturnArrow">
          <a:avLst>
            <a:gd name="adj1" fmla="val 39772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322897</xdr:colOff>
      <xdr:row>25</xdr:row>
      <xdr:rowOff>4762</xdr:rowOff>
    </xdr:from>
    <xdr:to>
      <xdr:col>19</xdr:col>
      <xdr:colOff>396557</xdr:colOff>
      <xdr:row>25</xdr:row>
      <xdr:rowOff>160972</xdr:rowOff>
    </xdr:to>
    <xdr:sp macro="" textlink="">
      <xdr:nvSpPr>
        <xdr:cNvPr id="62" name="Down Arrow 92">
          <a:extLst>
            <a:ext uri="{FF2B5EF4-FFF2-40B4-BE49-F238E27FC236}">
              <a16:creationId xmlns:a16="http://schemas.microsoft.com/office/drawing/2014/main" id="{7A968DED-4475-436E-8E9E-7447C48C7E38}"/>
            </a:ext>
          </a:extLst>
        </xdr:cNvPr>
        <xdr:cNvSpPr/>
      </xdr:nvSpPr>
      <xdr:spPr>
        <a:xfrm rot="3300000" flipH="1">
          <a:off x="12968922" y="4703762"/>
          <a:ext cx="156210" cy="7594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601980</xdr:colOff>
      <xdr:row>24</xdr:row>
      <xdr:rowOff>19685</xdr:rowOff>
    </xdr:from>
    <xdr:to>
      <xdr:col>20</xdr:col>
      <xdr:colOff>234315</xdr:colOff>
      <xdr:row>24</xdr:row>
      <xdr:rowOff>187325</xdr:rowOff>
    </xdr:to>
    <xdr:sp macro="" textlink="">
      <xdr:nvSpPr>
        <xdr:cNvPr id="63" name="Right Arrow 93">
          <a:extLst>
            <a:ext uri="{FF2B5EF4-FFF2-40B4-BE49-F238E27FC236}">
              <a16:creationId xmlns:a16="http://schemas.microsoft.com/office/drawing/2014/main" id="{FA001CB4-309D-4106-BA96-2EAE667B1530}"/>
            </a:ext>
          </a:extLst>
        </xdr:cNvPr>
        <xdr:cNvSpPr/>
      </xdr:nvSpPr>
      <xdr:spPr>
        <a:xfrm rot="10800000">
          <a:off x="13632180" y="4820285"/>
          <a:ext cx="318135" cy="1676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15</xdr:col>
      <xdr:colOff>591185</xdr:colOff>
      <xdr:row>24</xdr:row>
      <xdr:rowOff>24765</xdr:rowOff>
    </xdr:from>
    <xdr:to>
      <xdr:col>16</xdr:col>
      <xdr:colOff>223520</xdr:colOff>
      <xdr:row>24</xdr:row>
      <xdr:rowOff>169545</xdr:rowOff>
    </xdr:to>
    <xdr:sp macro="" textlink="">
      <xdr:nvSpPr>
        <xdr:cNvPr id="64" name="Right Arrow 94">
          <a:extLst>
            <a:ext uri="{FF2B5EF4-FFF2-40B4-BE49-F238E27FC236}">
              <a16:creationId xmlns:a16="http://schemas.microsoft.com/office/drawing/2014/main" id="{CEE300E7-B0B2-401C-9786-18CF09297DAE}"/>
            </a:ext>
          </a:extLst>
        </xdr:cNvPr>
        <xdr:cNvSpPr/>
      </xdr:nvSpPr>
      <xdr:spPr>
        <a:xfrm>
          <a:off x="10878185" y="4825365"/>
          <a:ext cx="31813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337185</xdr:colOff>
      <xdr:row>24</xdr:row>
      <xdr:rowOff>74930</xdr:rowOff>
    </xdr:from>
    <xdr:to>
      <xdr:col>16</xdr:col>
      <xdr:colOff>477520</xdr:colOff>
      <xdr:row>26</xdr:row>
      <xdr:rowOff>124460</xdr:rowOff>
    </xdr:to>
    <xdr:sp macro="" textlink="">
      <xdr:nvSpPr>
        <xdr:cNvPr id="65" name="Down Arrow 95">
          <a:extLst>
            <a:ext uri="{FF2B5EF4-FFF2-40B4-BE49-F238E27FC236}">
              <a16:creationId xmlns:a16="http://schemas.microsoft.com/office/drawing/2014/main" id="{A0687D69-77FF-46EF-BAD0-D11638B4DB9E}"/>
            </a:ext>
          </a:extLst>
        </xdr:cNvPr>
        <xdr:cNvSpPr/>
      </xdr:nvSpPr>
      <xdr:spPr>
        <a:xfrm>
          <a:off x="11309985" y="4875530"/>
          <a:ext cx="14033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272415</xdr:colOff>
      <xdr:row>24</xdr:row>
      <xdr:rowOff>74295</xdr:rowOff>
    </xdr:from>
    <xdr:to>
      <xdr:col>21</xdr:col>
      <xdr:colOff>441960</xdr:colOff>
      <xdr:row>26</xdr:row>
      <xdr:rowOff>123825</xdr:rowOff>
    </xdr:to>
    <xdr:sp macro="" textlink="">
      <xdr:nvSpPr>
        <xdr:cNvPr id="66" name="Down Arrow 96">
          <a:extLst>
            <a:ext uri="{FF2B5EF4-FFF2-40B4-BE49-F238E27FC236}">
              <a16:creationId xmlns:a16="http://schemas.microsoft.com/office/drawing/2014/main" id="{66000A1F-AFE7-4EE1-817B-00EB7743DC69}"/>
            </a:ext>
          </a:extLst>
        </xdr:cNvPr>
        <xdr:cNvSpPr/>
      </xdr:nvSpPr>
      <xdr:spPr>
        <a:xfrm>
          <a:off x="14674215" y="4874895"/>
          <a:ext cx="16954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20</xdr:col>
      <xdr:colOff>613410</xdr:colOff>
      <xdr:row>26</xdr:row>
      <xdr:rowOff>13335</xdr:rowOff>
    </xdr:from>
    <xdr:to>
      <xdr:col>21</xdr:col>
      <xdr:colOff>246380</xdr:colOff>
      <xdr:row>26</xdr:row>
      <xdr:rowOff>173355</xdr:rowOff>
    </xdr:to>
    <xdr:sp macro="" textlink="">
      <xdr:nvSpPr>
        <xdr:cNvPr id="67" name="Right Arrow 97">
          <a:extLst>
            <a:ext uri="{FF2B5EF4-FFF2-40B4-BE49-F238E27FC236}">
              <a16:creationId xmlns:a16="http://schemas.microsoft.com/office/drawing/2014/main" id="{573BA9E2-C47D-4214-A0C8-3826DC0C07ED}"/>
            </a:ext>
          </a:extLst>
        </xdr:cNvPr>
        <xdr:cNvSpPr/>
      </xdr:nvSpPr>
      <xdr:spPr>
        <a:xfrm>
          <a:off x="14329410" y="5213985"/>
          <a:ext cx="31877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501650</xdr:colOff>
      <xdr:row>25</xdr:row>
      <xdr:rowOff>189230</xdr:rowOff>
    </xdr:from>
    <xdr:to>
      <xdr:col>21</xdr:col>
      <xdr:colOff>674370</xdr:colOff>
      <xdr:row>26</xdr:row>
      <xdr:rowOff>183515</xdr:rowOff>
    </xdr:to>
    <xdr:sp macro="" textlink="">
      <xdr:nvSpPr>
        <xdr:cNvPr id="68" name="Chevron 98">
          <a:extLst>
            <a:ext uri="{FF2B5EF4-FFF2-40B4-BE49-F238E27FC236}">
              <a16:creationId xmlns:a16="http://schemas.microsoft.com/office/drawing/2014/main" id="{453F0B6C-E1C3-4573-8B89-F1A673DB4E5D}"/>
            </a:ext>
          </a:extLst>
        </xdr:cNvPr>
        <xdr:cNvSpPr/>
      </xdr:nvSpPr>
      <xdr:spPr>
        <a:xfrm>
          <a:off x="14903450" y="5189855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353060</xdr:colOff>
      <xdr:row>16</xdr:row>
      <xdr:rowOff>109220</xdr:rowOff>
    </xdr:from>
    <xdr:to>
      <xdr:col>22</xdr:col>
      <xdr:colOff>349250</xdr:colOff>
      <xdr:row>19</xdr:row>
      <xdr:rowOff>183515</xdr:rowOff>
    </xdr:to>
    <xdr:sp macro="" textlink="">
      <xdr:nvSpPr>
        <xdr:cNvPr id="69" name="U-Turn Arrow 99">
          <a:extLst>
            <a:ext uri="{FF2B5EF4-FFF2-40B4-BE49-F238E27FC236}">
              <a16:creationId xmlns:a16="http://schemas.microsoft.com/office/drawing/2014/main" id="{AD6B19A8-5799-46D2-844B-2EBE9171874D}"/>
            </a:ext>
          </a:extLst>
        </xdr:cNvPr>
        <xdr:cNvSpPr/>
      </xdr:nvSpPr>
      <xdr:spPr>
        <a:xfrm flipH="1">
          <a:off x="5153660" y="3309620"/>
          <a:ext cx="10283190" cy="674370"/>
        </a:xfrm>
        <a:prstGeom prst="uturnArrow">
          <a:avLst>
            <a:gd name="adj1" fmla="val 12310"/>
            <a:gd name="adj2" fmla="val 14122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488950</xdr:colOff>
      <xdr:row>24</xdr:row>
      <xdr:rowOff>22225</xdr:rowOff>
    </xdr:from>
    <xdr:to>
      <xdr:col>23</xdr:col>
      <xdr:colOff>250825</xdr:colOff>
      <xdr:row>24</xdr:row>
      <xdr:rowOff>167005</xdr:rowOff>
    </xdr:to>
    <xdr:sp macro="" textlink="">
      <xdr:nvSpPr>
        <xdr:cNvPr id="70" name="Right Arrow 100">
          <a:extLst>
            <a:ext uri="{FF2B5EF4-FFF2-40B4-BE49-F238E27FC236}">
              <a16:creationId xmlns:a16="http://schemas.microsoft.com/office/drawing/2014/main" id="{BECAC96F-62B7-480A-986E-1EE3D5242C6F}"/>
            </a:ext>
          </a:extLst>
        </xdr:cNvPr>
        <xdr:cNvSpPr/>
      </xdr:nvSpPr>
      <xdr:spPr>
        <a:xfrm rot="10800000">
          <a:off x="15576550" y="4822825"/>
          <a:ext cx="44767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378460</xdr:colOff>
      <xdr:row>18</xdr:row>
      <xdr:rowOff>31750</xdr:rowOff>
    </xdr:from>
    <xdr:to>
      <xdr:col>24</xdr:col>
      <xdr:colOff>304800</xdr:colOff>
      <xdr:row>19</xdr:row>
      <xdr:rowOff>189230</xdr:rowOff>
    </xdr:to>
    <xdr:sp macro="" textlink="">
      <xdr:nvSpPr>
        <xdr:cNvPr id="71" name="U-Turn Arrow 101">
          <a:extLst>
            <a:ext uri="{FF2B5EF4-FFF2-40B4-BE49-F238E27FC236}">
              <a16:creationId xmlns:a16="http://schemas.microsoft.com/office/drawing/2014/main" id="{B839D480-72CB-4487-BC54-DA2AB744A52B}"/>
            </a:ext>
          </a:extLst>
        </xdr:cNvPr>
        <xdr:cNvSpPr/>
      </xdr:nvSpPr>
      <xdr:spPr>
        <a:xfrm rot="10800000" flipV="1">
          <a:off x="13408660" y="3632200"/>
          <a:ext cx="3355340" cy="357505"/>
        </a:xfrm>
        <a:prstGeom prst="uturnArrow">
          <a:avLst>
            <a:gd name="adj1" fmla="val 22750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266700</xdr:colOff>
      <xdr:row>18</xdr:row>
      <xdr:rowOff>200660</xdr:rowOff>
    </xdr:from>
    <xdr:to>
      <xdr:col>25</xdr:col>
      <xdr:colOff>380365</xdr:colOff>
      <xdr:row>19</xdr:row>
      <xdr:rowOff>185420</xdr:rowOff>
    </xdr:to>
    <xdr:sp macro="" textlink="">
      <xdr:nvSpPr>
        <xdr:cNvPr id="72" name="U-Turn Arrow 102">
          <a:extLst>
            <a:ext uri="{FF2B5EF4-FFF2-40B4-BE49-F238E27FC236}">
              <a16:creationId xmlns:a16="http://schemas.microsoft.com/office/drawing/2014/main" id="{C23AC474-8508-40C7-8A08-262393A5CCA0}"/>
            </a:ext>
          </a:extLst>
        </xdr:cNvPr>
        <xdr:cNvSpPr/>
      </xdr:nvSpPr>
      <xdr:spPr>
        <a:xfrm rot="10800000" flipV="1">
          <a:off x="16040100" y="3801110"/>
          <a:ext cx="1485265" cy="184785"/>
        </a:xfrm>
        <a:prstGeom prst="uturnArrow">
          <a:avLst>
            <a:gd name="adj1" fmla="val 50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36"/>
  <sheetViews>
    <sheetView showGridLines="0" zoomScale="115" zoomScaleNormal="115" workbookViewId="0">
      <selection activeCell="C16" sqref="C16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47" t="s">
        <v>964</v>
      </c>
      <c r="C2" s="44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f>8*60</f>
        <v>480</v>
      </c>
    </row>
    <row r="8" spans="2:3" x14ac:dyDescent="0.3">
      <c r="B8" s="381" t="s">
        <v>102</v>
      </c>
      <c r="C8" s="380">
        <v>49000</v>
      </c>
    </row>
    <row r="9" spans="2:3" x14ac:dyDescent="0.3">
      <c r="B9" s="381" t="s">
        <v>103</v>
      </c>
      <c r="C9" s="386">
        <v>44317</v>
      </c>
    </row>
    <row r="10" spans="2:3" x14ac:dyDescent="0.3">
      <c r="B10" s="381" t="s">
        <v>104</v>
      </c>
      <c r="C10" s="386">
        <v>44347</v>
      </c>
    </row>
    <row r="11" spans="2:3" x14ac:dyDescent="0.3">
      <c r="B11" s="381" t="s">
        <v>105</v>
      </c>
      <c r="C11" s="385">
        <f>(_xlfn.DAYS(C10,C9)+1)</f>
        <v>31</v>
      </c>
    </row>
    <row r="12" spans="2:3" x14ac:dyDescent="0.3">
      <c r="B12" s="381" t="s">
        <v>106</v>
      </c>
      <c r="C12" s="385">
        <f>ROUND(C8/C11,0)</f>
        <v>1581</v>
      </c>
    </row>
    <row r="13" spans="2:3" x14ac:dyDescent="0.3">
      <c r="B13" s="381" t="s">
        <v>107</v>
      </c>
      <c r="C13" s="384">
        <f>C7/C12</f>
        <v>0.30360531309297911</v>
      </c>
    </row>
    <row r="14" spans="2:3" x14ac:dyDescent="0.3">
      <c r="B14" s="381" t="s">
        <v>101</v>
      </c>
      <c r="C14" s="380">
        <f>MAX(Line_Details!$F:$F)</f>
        <v>1.819</v>
      </c>
    </row>
    <row r="15" spans="2:3" x14ac:dyDescent="0.3">
      <c r="B15" s="381" t="s">
        <v>108</v>
      </c>
      <c r="C15" s="380">
        <f>ROUND(C7/C14,0)</f>
        <v>264</v>
      </c>
    </row>
    <row r="16" spans="2:3" ht="31.5" x14ac:dyDescent="0.3">
      <c r="B16" s="383" t="s">
        <v>109</v>
      </c>
      <c r="C16" s="382">
        <f>MAX(C13,C14)</f>
        <v>1.819</v>
      </c>
    </row>
    <row r="17" spans="2:3" x14ac:dyDescent="0.3">
      <c r="B17" s="381" t="s">
        <v>111</v>
      </c>
      <c r="C17" s="380">
        <f>ROUNDUP(SUM(Line_Details!$F:$F)/C16,0)</f>
        <v>23</v>
      </c>
    </row>
    <row r="18" spans="2:3" ht="16.5" thickBot="1" x14ac:dyDescent="0.35">
      <c r="B18" s="379" t="s">
        <v>110</v>
      </c>
      <c r="C18" s="378">
        <f>MAX(Line_Details!$B:$B)</f>
        <v>54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sheetPr codeName="Sheet5"/>
  <dimension ref="A2:F36"/>
  <sheetViews>
    <sheetView workbookViewId="0">
      <selection activeCell="C27" sqref="C2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47" t="s">
        <v>964</v>
      </c>
      <c r="C2" s="44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MAX('hat5'!$F:$F)</f>
        <v>1.67</v>
      </c>
    </row>
    <row r="15" spans="2:3" x14ac:dyDescent="0.3">
      <c r="B15" s="381" t="s">
        <v>108</v>
      </c>
      <c r="C15" s="380">
        <f>ROUND(C7/C14,0)</f>
        <v>275</v>
      </c>
    </row>
    <row r="16" spans="2:3" ht="31.5" x14ac:dyDescent="0.3">
      <c r="B16" s="383" t="s">
        <v>109</v>
      </c>
      <c r="C16" s="382">
        <f>MAX(C13,C14)</f>
        <v>1.67</v>
      </c>
    </row>
    <row r="17" spans="2:3" x14ac:dyDescent="0.3">
      <c r="B17" s="381" t="s">
        <v>111</v>
      </c>
      <c r="C17" s="380">
        <f>ROUNDUP(SUM('hat5'!$F:$F)/C16,0)</f>
        <v>13</v>
      </c>
    </row>
    <row r="18" spans="2:3" ht="16.5" thickBot="1" x14ac:dyDescent="0.35">
      <c r="B18" s="379" t="s">
        <v>110</v>
      </c>
      <c r="C18" s="378">
        <f>MAX('hat5'!$B:$B)</f>
        <v>33</v>
      </c>
    </row>
    <row r="19" spans="2:3" ht="16.5" thickTop="1" x14ac:dyDescent="0.3"/>
    <row r="25" spans="2:3" x14ac:dyDescent="0.3">
      <c r="B25" s="377"/>
    </row>
    <row r="27" spans="2:3" x14ac:dyDescent="0.3">
      <c r="C27" s="376">
        <f xml:space="preserve"> 275/200</f>
        <v>1.375</v>
      </c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sheetPr codeName="Sheet11"/>
  <dimension ref="A2:F36"/>
  <sheetViews>
    <sheetView workbookViewId="0">
      <selection activeCell="C21" sqref="C21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47" t="s">
        <v>964</v>
      </c>
      <c r="C2" s="44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MAX('hat4'!$F:$F)</f>
        <v>1.1000000000000001</v>
      </c>
    </row>
    <row r="15" spans="2:3" x14ac:dyDescent="0.3">
      <c r="B15" s="381" t="s">
        <v>108</v>
      </c>
      <c r="C15" s="380">
        <f>ROUND(C7/C14,0)</f>
        <v>418</v>
      </c>
    </row>
    <row r="16" spans="2:3" ht="31.5" x14ac:dyDescent="0.3">
      <c r="B16" s="383" t="s">
        <v>109</v>
      </c>
      <c r="C16" s="382">
        <f>MAX(C13,C14)</f>
        <v>1.1000000000000001</v>
      </c>
    </row>
    <row r="17" spans="2:3" x14ac:dyDescent="0.3">
      <c r="B17" s="381" t="s">
        <v>111</v>
      </c>
      <c r="C17" s="380">
        <f>ROUNDUP(SUM('hat4'!$F:$F)/C16,0)</f>
        <v>14</v>
      </c>
    </row>
    <row r="18" spans="2:3" ht="16.5" thickBot="1" x14ac:dyDescent="0.35">
      <c r="B18" s="379" t="s">
        <v>110</v>
      </c>
      <c r="C18" s="378">
        <f>MAX('hat4'!$B:$B)</f>
        <v>32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sheetPr codeName="Sheet12"/>
  <dimension ref="A2:F36"/>
  <sheetViews>
    <sheetView workbookViewId="0">
      <selection activeCell="C25" sqref="C25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47" t="s">
        <v>964</v>
      </c>
      <c r="C2" s="44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MAX('hat3'!$F:$F)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ROUNDUP(SUM('hat3'!$F:$F)/C16,0)</f>
        <v>13</v>
      </c>
    </row>
    <row r="18" spans="2:3" ht="16.5" thickBot="1" x14ac:dyDescent="0.35">
      <c r="B18" s="379" t="s">
        <v>110</v>
      </c>
      <c r="C18" s="378">
        <f>MAX('hat3'!$B:$B)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sheetPr codeName="Sheet14"/>
  <dimension ref="A2:F36"/>
  <sheetViews>
    <sheetView workbookViewId="0">
      <selection activeCell="C13" sqref="C13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47" t="s">
        <v>964</v>
      </c>
      <c r="C2" s="44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MAX('hat2'!$F:$F)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ROUNDUP(SUM('hat2'!$F:$F)/C16,0)</f>
        <v>13</v>
      </c>
    </row>
    <row r="18" spans="2:3" ht="16.5" thickBot="1" x14ac:dyDescent="0.35">
      <c r="B18" s="379" t="s">
        <v>110</v>
      </c>
      <c r="C18" s="378">
        <f>MAX('hat2'!$B:$B)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sheetPr codeName="Sheet15"/>
  <dimension ref="A2:F36"/>
  <sheetViews>
    <sheetView workbookViewId="0">
      <selection activeCell="C17" sqref="C1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47" t="s">
        <v>964</v>
      </c>
      <c r="C2" s="44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MAX('hat1'!$F:$F)</f>
        <v>0.78</v>
      </c>
    </row>
    <row r="15" spans="2:3" x14ac:dyDescent="0.3">
      <c r="B15" s="381" t="s">
        <v>108</v>
      </c>
      <c r="C15" s="380">
        <f>ROUND(C7/C14,0)</f>
        <v>590</v>
      </c>
    </row>
    <row r="16" spans="2:3" ht="31.5" x14ac:dyDescent="0.3">
      <c r="B16" s="383" t="s">
        <v>109</v>
      </c>
      <c r="C16" s="382">
        <f>MAX(C13,C14)</f>
        <v>0.78</v>
      </c>
    </row>
    <row r="17" spans="2:3" x14ac:dyDescent="0.3">
      <c r="B17" s="381" t="s">
        <v>111</v>
      </c>
      <c r="C17" s="380">
        <f>ROUNDUP(SUM('hat1'!$F:$F)/C16,0)</f>
        <v>19</v>
      </c>
    </row>
    <row r="18" spans="2:3" ht="16.5" thickBot="1" x14ac:dyDescent="0.35">
      <c r="B18" s="379" t="s">
        <v>110</v>
      </c>
      <c r="C18" s="378">
        <f>MAX('hat1'!$B:$B)</f>
        <v>34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sheetPr codeName="Sheet16"/>
  <dimension ref="A1:J38"/>
  <sheetViews>
    <sheetView zoomScaleNormal="100" workbookViewId="0">
      <selection activeCell="E44" sqref="E44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 x14ac:dyDescent="0.3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 x14ac:dyDescent="0.3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sheetPr codeName="Sheet17"/>
  <dimension ref="A1:J35"/>
  <sheetViews>
    <sheetView topLeftCell="A19" zoomScaleNormal="100" workbookViewId="0">
      <selection activeCell="F29" sqref="F2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sheetPr codeName="Sheet18"/>
  <dimension ref="A1:J35"/>
  <sheetViews>
    <sheetView topLeftCell="A4" zoomScaleNormal="100" workbookViewId="0">
      <selection activeCell="I12" sqref="I1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 x14ac:dyDescent="0.3">
      <c r="B1" s="2"/>
      <c r="C1" s="2"/>
      <c r="D1" s="2"/>
    </row>
    <row r="2" spans="2:9" x14ac:dyDescent="0.3">
      <c r="B2" s="448" t="s">
        <v>965</v>
      </c>
      <c r="C2" s="448"/>
      <c r="D2" s="448"/>
      <c r="E2" s="448"/>
      <c r="F2" s="448"/>
      <c r="G2" s="448"/>
    </row>
    <row r="4" spans="2:9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sheetPr codeName="Sheet19"/>
  <dimension ref="A1:J36"/>
  <sheetViews>
    <sheetView zoomScaleNormal="100" workbookViewId="0">
      <selection activeCell="F4" sqref="F4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 x14ac:dyDescent="0.3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 x14ac:dyDescent="0.3">
      <c r="B2" s="449" t="s">
        <v>987</v>
      </c>
      <c r="C2" s="449"/>
      <c r="D2" s="449"/>
      <c r="E2" s="449"/>
      <c r="F2" s="449"/>
      <c r="G2" s="449"/>
    </row>
    <row r="4" spans="2:9" x14ac:dyDescent="0.3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 x14ac:dyDescent="0.3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 x14ac:dyDescent="0.3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 x14ac:dyDescent="0.3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 x14ac:dyDescent="0.3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 x14ac:dyDescent="0.3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 x14ac:dyDescent="0.3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 x14ac:dyDescent="0.3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 x14ac:dyDescent="0.3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 x14ac:dyDescent="0.3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 x14ac:dyDescent="0.3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 x14ac:dyDescent="0.3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 x14ac:dyDescent="0.3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 x14ac:dyDescent="0.3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 x14ac:dyDescent="0.3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 x14ac:dyDescent="0.3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 x14ac:dyDescent="0.3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 x14ac:dyDescent="0.3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 x14ac:dyDescent="0.3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 x14ac:dyDescent="0.3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 x14ac:dyDescent="0.3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 x14ac:dyDescent="0.3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 x14ac:dyDescent="0.3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 x14ac:dyDescent="0.3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 x14ac:dyDescent="0.3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 x14ac:dyDescent="0.3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 x14ac:dyDescent="0.3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 x14ac:dyDescent="0.3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 x14ac:dyDescent="0.3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 x14ac:dyDescent="0.3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 x14ac:dyDescent="0.3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 x14ac:dyDescent="0.3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 x14ac:dyDescent="0.3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 x14ac:dyDescent="0.3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 x14ac:dyDescent="0.3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 x14ac:dyDescent="0.3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 x14ac:dyDescent="0.3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 x14ac:dyDescent="0.3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 x14ac:dyDescent="0.3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 x14ac:dyDescent="0.3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 x14ac:dyDescent="0.3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 x14ac:dyDescent="0.3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 x14ac:dyDescent="0.3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 x14ac:dyDescent="0.3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 x14ac:dyDescent="0.3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 x14ac:dyDescent="0.3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 x14ac:dyDescent="0.3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 x14ac:dyDescent="0.3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 x14ac:dyDescent="0.3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 x14ac:dyDescent="0.3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 x14ac:dyDescent="0.3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 x14ac:dyDescent="0.3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 x14ac:dyDescent="0.3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 x14ac:dyDescent="0.3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 x14ac:dyDescent="0.3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 x14ac:dyDescent="0.3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 x14ac:dyDescent="0.3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 x14ac:dyDescent="0.3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 x14ac:dyDescent="0.3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 x14ac:dyDescent="0.3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 x14ac:dyDescent="0.3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 x14ac:dyDescent="0.3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 x14ac:dyDescent="0.3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 x14ac:dyDescent="0.3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 x14ac:dyDescent="0.3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 x14ac:dyDescent="0.3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 x14ac:dyDescent="0.3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 x14ac:dyDescent="0.3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 x14ac:dyDescent="0.3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 x14ac:dyDescent="0.3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 x14ac:dyDescent="0.3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 x14ac:dyDescent="0.3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 x14ac:dyDescent="0.3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 x14ac:dyDescent="0.3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 x14ac:dyDescent="0.3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 x14ac:dyDescent="0.3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 x14ac:dyDescent="0.3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 x14ac:dyDescent="0.3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 x14ac:dyDescent="0.3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 x14ac:dyDescent="0.3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 x14ac:dyDescent="0.3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 x14ac:dyDescent="0.3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 x14ac:dyDescent="0.3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 x14ac:dyDescent="0.3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 x14ac:dyDescent="0.3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 x14ac:dyDescent="0.3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 x14ac:dyDescent="0.3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 x14ac:dyDescent="0.3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 x14ac:dyDescent="0.3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 x14ac:dyDescent="0.3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 x14ac:dyDescent="0.3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 x14ac:dyDescent="0.3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 x14ac:dyDescent="0.3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 x14ac:dyDescent="0.3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 x14ac:dyDescent="0.3">
      <c r="B98" s="359"/>
      <c r="C98" s="360"/>
      <c r="D98" s="360"/>
      <c r="E98" s="363"/>
      <c r="F98" s="359"/>
      <c r="G98" s="359"/>
      <c r="H98" s="364"/>
      <c r="I98" s="364"/>
    </row>
    <row r="99" spans="2:9" x14ac:dyDescent="0.3">
      <c r="B99" s="359"/>
      <c r="C99" s="360"/>
      <c r="D99" s="360"/>
      <c r="E99" s="359"/>
      <c r="F99" s="359"/>
      <c r="G99" s="359"/>
      <c r="H99" s="364"/>
      <c r="I99" s="364"/>
    </row>
    <row r="100" spans="2:9" x14ac:dyDescent="0.3">
      <c r="B100" s="359"/>
      <c r="C100" s="360"/>
      <c r="D100" s="360"/>
      <c r="E100" s="359"/>
      <c r="F100" s="359"/>
      <c r="G100" s="359"/>
      <c r="H100" s="364"/>
      <c r="I100" s="364"/>
    </row>
    <row r="101" spans="2:9" x14ac:dyDescent="0.3">
      <c r="B101" s="359"/>
      <c r="C101" s="360"/>
      <c r="D101" s="360"/>
      <c r="E101" s="359"/>
      <c r="F101" s="359"/>
      <c r="G101" s="359"/>
      <c r="H101" s="364"/>
      <c r="I101" s="364"/>
    </row>
    <row r="102" spans="2:9" x14ac:dyDescent="0.3">
      <c r="B102" s="359"/>
      <c r="C102" s="360"/>
      <c r="D102" s="360"/>
      <c r="E102" s="359"/>
      <c r="F102" s="359"/>
      <c r="G102" s="359"/>
      <c r="H102" s="364"/>
      <c r="I102" s="364"/>
    </row>
    <row r="103" spans="2:9" x14ac:dyDescent="0.3">
      <c r="B103" s="359"/>
      <c r="C103" s="360"/>
      <c r="D103" s="360"/>
      <c r="E103" s="359"/>
      <c r="F103" s="359"/>
      <c r="G103" s="359"/>
      <c r="H103" s="364"/>
      <c r="I103" s="364"/>
    </row>
    <row r="104" spans="2:9" x14ac:dyDescent="0.3">
      <c r="B104" s="359"/>
      <c r="C104" s="360"/>
      <c r="D104" s="360"/>
      <c r="E104" s="359"/>
      <c r="F104" s="359"/>
      <c r="G104" s="359"/>
      <c r="H104" s="364"/>
      <c r="I104" s="364"/>
    </row>
    <row r="105" spans="2:9" x14ac:dyDescent="0.3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 x14ac:dyDescent="0.3">
      <c r="B106" s="359"/>
      <c r="C106" s="360"/>
      <c r="D106" s="360"/>
      <c r="E106" s="359"/>
      <c r="F106" s="359"/>
      <c r="G106" s="359"/>
    </row>
    <row r="107" spans="2:9" s="364" customFormat="1" x14ac:dyDescent="0.3">
      <c r="B107" s="359"/>
      <c r="C107" s="360"/>
      <c r="D107" s="360"/>
      <c r="E107" s="359"/>
      <c r="F107" s="359"/>
      <c r="G107" s="359"/>
    </row>
    <row r="108" spans="2:9" s="364" customFormat="1" x14ac:dyDescent="0.3">
      <c r="B108" s="359"/>
      <c r="C108" s="360"/>
      <c r="D108" s="360"/>
      <c r="E108" s="359"/>
      <c r="F108" s="359"/>
      <c r="G108" s="359"/>
    </row>
    <row r="109" spans="2:9" x14ac:dyDescent="0.3">
      <c r="B109" s="359"/>
      <c r="C109" s="360"/>
      <c r="D109" s="360"/>
      <c r="E109" s="359"/>
      <c r="F109" s="359"/>
      <c r="G109" s="359"/>
      <c r="H109" s="364"/>
      <c r="I109" s="364"/>
    </row>
    <row r="110" spans="2:9" x14ac:dyDescent="0.3">
      <c r="B110" s="359"/>
      <c r="C110" s="360"/>
      <c r="D110" s="360"/>
      <c r="E110" s="359"/>
      <c r="F110" s="359"/>
      <c r="G110" s="359"/>
      <c r="H110" s="364"/>
      <c r="I110" s="364"/>
    </row>
    <row r="111" spans="2:9" x14ac:dyDescent="0.3">
      <c r="B111" s="359"/>
      <c r="C111" s="360"/>
      <c r="D111" s="360"/>
      <c r="E111" s="359"/>
      <c r="F111" s="359"/>
      <c r="G111" s="359"/>
      <c r="H111" s="364"/>
      <c r="I111" s="364"/>
    </row>
    <row r="112" spans="2:9" x14ac:dyDescent="0.3">
      <c r="B112" s="359"/>
      <c r="C112" s="360"/>
      <c r="D112" s="360"/>
      <c r="E112" s="359"/>
      <c r="F112" s="359"/>
      <c r="G112" s="359"/>
      <c r="H112" s="364"/>
      <c r="I112" s="364"/>
    </row>
    <row r="113" spans="2:9" x14ac:dyDescent="0.3">
      <c r="B113" s="359"/>
      <c r="C113" s="360"/>
      <c r="D113" s="360"/>
      <c r="E113" s="359"/>
      <c r="F113" s="359"/>
      <c r="G113" s="359"/>
      <c r="H113" s="364"/>
      <c r="I113" s="364"/>
    </row>
    <row r="114" spans="2:9" x14ac:dyDescent="0.3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 x14ac:dyDescent="0.3">
      <c r="B115" s="359"/>
      <c r="C115" s="360"/>
      <c r="D115" s="360"/>
      <c r="E115" s="359"/>
      <c r="F115" s="359"/>
      <c r="G115" s="359"/>
    </row>
    <row r="116" spans="2:9" s="364" customFormat="1" x14ac:dyDescent="0.3">
      <c r="B116" s="359"/>
      <c r="C116" s="360"/>
      <c r="D116" s="360"/>
      <c r="E116" s="359"/>
      <c r="F116" s="359"/>
      <c r="G116" s="359"/>
    </row>
    <row r="117" spans="2:9" x14ac:dyDescent="0.3">
      <c r="B117" s="359"/>
      <c r="C117" s="360"/>
      <c r="D117" s="360"/>
      <c r="E117" s="359"/>
      <c r="F117" s="359"/>
      <c r="G117" s="359"/>
      <c r="H117" s="364"/>
      <c r="I117" s="364"/>
    </row>
    <row r="118" spans="2:9" x14ac:dyDescent="0.3">
      <c r="B118" s="359"/>
      <c r="C118" s="360"/>
      <c r="D118" s="360"/>
      <c r="E118" s="359"/>
      <c r="F118" s="359"/>
      <c r="G118" s="359"/>
      <c r="H118" s="364"/>
      <c r="I118" s="364"/>
    </row>
    <row r="119" spans="2:9" x14ac:dyDescent="0.3">
      <c r="B119" s="359"/>
      <c r="C119" s="360"/>
      <c r="D119" s="360"/>
      <c r="E119" s="359"/>
      <c r="F119" s="359"/>
      <c r="G119" s="359"/>
      <c r="H119" s="364"/>
      <c r="I119" s="364"/>
    </row>
    <row r="120" spans="2:9" x14ac:dyDescent="0.3">
      <c r="B120" s="359"/>
      <c r="C120" s="360"/>
      <c r="D120" s="360"/>
      <c r="E120" s="359"/>
      <c r="F120" s="359"/>
      <c r="G120" s="359"/>
      <c r="H120" s="364"/>
      <c r="I120" s="364"/>
    </row>
    <row r="121" spans="2:9" x14ac:dyDescent="0.3">
      <c r="B121" s="359"/>
      <c r="C121" s="360"/>
      <c r="D121" s="360"/>
      <c r="E121" s="359"/>
      <c r="F121" s="359"/>
      <c r="G121" s="359"/>
      <c r="H121" s="364"/>
      <c r="I121" s="364"/>
    </row>
    <row r="122" spans="2:9" x14ac:dyDescent="0.3">
      <c r="B122" s="359"/>
      <c r="C122" s="360"/>
      <c r="D122" s="360"/>
      <c r="E122" s="359"/>
      <c r="F122" s="359"/>
      <c r="G122" s="359"/>
      <c r="H122" s="364"/>
      <c r="I122" s="364"/>
    </row>
    <row r="123" spans="2:9" x14ac:dyDescent="0.3">
      <c r="B123" s="359"/>
      <c r="C123" s="360"/>
      <c r="D123" s="360"/>
      <c r="E123" s="359"/>
      <c r="F123" s="359"/>
      <c r="G123" s="359"/>
      <c r="H123" s="364"/>
      <c r="I123" s="364"/>
    </row>
    <row r="124" spans="2:9" x14ac:dyDescent="0.3">
      <c r="B124" s="359"/>
      <c r="C124" s="360"/>
      <c r="D124" s="360"/>
      <c r="E124" s="359"/>
      <c r="F124" s="359"/>
      <c r="G124" s="359"/>
      <c r="H124" s="364"/>
      <c r="I124" s="364"/>
    </row>
    <row r="125" spans="2:9" x14ac:dyDescent="0.3">
      <c r="B125" s="359"/>
      <c r="C125" s="360"/>
      <c r="D125" s="360"/>
      <c r="E125" s="359"/>
      <c r="F125" s="359"/>
      <c r="G125" s="359"/>
      <c r="H125" s="364"/>
      <c r="I125" s="364"/>
    </row>
    <row r="126" spans="2:9" x14ac:dyDescent="0.3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 x14ac:dyDescent="0.3">
      <c r="B127" s="359"/>
      <c r="C127" s="360"/>
      <c r="D127" s="360"/>
      <c r="E127" s="359"/>
      <c r="F127" s="359"/>
      <c r="G127" s="359"/>
    </row>
    <row r="128" spans="2:9" s="364" customFormat="1" x14ac:dyDescent="0.3">
      <c r="B128" s="359"/>
      <c r="C128" s="360"/>
      <c r="D128" s="360"/>
      <c r="E128" s="359"/>
      <c r="F128" s="359"/>
      <c r="G128" s="359"/>
    </row>
    <row r="129" spans="2:9" x14ac:dyDescent="0.3">
      <c r="B129" s="359"/>
      <c r="C129" s="360"/>
      <c r="D129" s="360"/>
      <c r="E129" s="359"/>
      <c r="F129" s="359"/>
      <c r="G129" s="359"/>
      <c r="H129" s="364"/>
      <c r="I129" s="364"/>
    </row>
    <row r="130" spans="2:9" x14ac:dyDescent="0.3">
      <c r="B130" s="359"/>
      <c r="C130" s="360"/>
      <c r="D130" s="360"/>
      <c r="E130" s="359"/>
      <c r="F130" s="359"/>
      <c r="G130" s="359"/>
      <c r="H130" s="364"/>
      <c r="I130" s="364"/>
    </row>
    <row r="131" spans="2:9" x14ac:dyDescent="0.3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 x14ac:dyDescent="0.3">
      <c r="B132" s="359"/>
      <c r="C132" s="360"/>
      <c r="D132" s="360"/>
      <c r="E132" s="359"/>
      <c r="F132" s="359"/>
      <c r="G132" s="359"/>
    </row>
    <row r="133" spans="2:9" s="364" customFormat="1" x14ac:dyDescent="0.3">
      <c r="B133" s="359"/>
      <c r="C133" s="360"/>
      <c r="D133" s="360"/>
      <c r="E133" s="359"/>
      <c r="F133" s="359"/>
      <c r="G133" s="359"/>
    </row>
    <row r="134" spans="2:9" x14ac:dyDescent="0.3">
      <c r="B134" s="359"/>
      <c r="C134" s="360"/>
      <c r="D134" s="360"/>
      <c r="E134" s="359"/>
      <c r="F134" s="359"/>
      <c r="G134" s="359"/>
    </row>
    <row r="135" spans="2:9" x14ac:dyDescent="0.3">
      <c r="B135" s="359"/>
      <c r="C135" s="360"/>
      <c r="D135" s="360"/>
      <c r="E135" s="359"/>
      <c r="F135" s="359"/>
      <c r="G135" s="359"/>
    </row>
    <row r="136" spans="2:9" s="364" customFormat="1" x14ac:dyDescent="0.3">
      <c r="B136" s="361"/>
      <c r="C136" s="362"/>
      <c r="D136" s="362"/>
      <c r="E136" s="361"/>
      <c r="F136" s="361"/>
      <c r="G136" s="361"/>
    </row>
    <row r="137" spans="2:9" s="364" customFormat="1" x14ac:dyDescent="0.3">
      <c r="B137" s="361"/>
      <c r="C137" s="362"/>
      <c r="D137" s="362"/>
      <c r="E137" s="361"/>
      <c r="F137" s="361"/>
      <c r="G137" s="361"/>
    </row>
    <row r="138" spans="2:9" s="364" customFormat="1" x14ac:dyDescent="0.3">
      <c r="B138"/>
      <c r="C138"/>
      <c r="D138"/>
      <c r="E138"/>
      <c r="F138"/>
      <c r="G138"/>
    </row>
    <row r="139" spans="2:9" s="364" customFormat="1" x14ac:dyDescent="0.3">
      <c r="B139"/>
      <c r="C139"/>
      <c r="D139"/>
      <c r="E139"/>
      <c r="F139"/>
      <c r="G139"/>
    </row>
    <row r="140" spans="2:9" s="364" customFormat="1" x14ac:dyDescent="0.3">
      <c r="B140"/>
      <c r="C140"/>
      <c r="D140"/>
      <c r="E140"/>
      <c r="F140"/>
      <c r="G140"/>
    </row>
    <row r="141" spans="2:9" s="364" customFormat="1" x14ac:dyDescent="0.3">
      <c r="B141"/>
      <c r="C141"/>
      <c r="D141"/>
      <c r="E141"/>
      <c r="F141"/>
      <c r="G141"/>
    </row>
    <row r="142" spans="2:9" s="364" customFormat="1" x14ac:dyDescent="0.3">
      <c r="B142"/>
      <c r="C142"/>
      <c r="D142"/>
      <c r="E142"/>
      <c r="F142"/>
      <c r="G142"/>
    </row>
    <row r="143" spans="2:9" s="364" customFormat="1" x14ac:dyDescent="0.3">
      <c r="B143"/>
      <c r="C143"/>
      <c r="D143"/>
      <c r="E143"/>
      <c r="F143"/>
      <c r="G143"/>
    </row>
    <row r="144" spans="2:9" s="364" customFormat="1" x14ac:dyDescent="0.3">
      <c r="B144"/>
      <c r="C144"/>
      <c r="D144"/>
      <c r="E144"/>
      <c r="F144"/>
      <c r="G144"/>
    </row>
    <row r="146" spans="2:7" s="364" customFormat="1" x14ac:dyDescent="0.3">
      <c r="B146"/>
      <c r="C146"/>
      <c r="D146"/>
      <c r="E146"/>
      <c r="F146"/>
      <c r="G146"/>
    </row>
    <row r="148" spans="2:7" s="364" customFormat="1" x14ac:dyDescent="0.3">
      <c r="B148"/>
      <c r="C148"/>
      <c r="D148"/>
      <c r="E148"/>
      <c r="F148"/>
      <c r="G148"/>
    </row>
    <row r="151" spans="2:7" s="364" customFormat="1" x14ac:dyDescent="0.3">
      <c r="B151"/>
      <c r="C151"/>
      <c r="D151"/>
      <c r="E151"/>
      <c r="F151"/>
      <c r="G151"/>
    </row>
    <row r="153" spans="2:7" s="364" customFormat="1" x14ac:dyDescent="0.3">
      <c r="B153"/>
      <c r="C153"/>
      <c r="D153"/>
      <c r="E153"/>
      <c r="F153"/>
      <c r="G153"/>
    </row>
    <row r="155" spans="2:7" s="364" customFormat="1" x14ac:dyDescent="0.3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topLeftCell="A1048576" workbookViewId="0"/>
  </sheetViews>
  <sheetFormatPr defaultColWidth="0" defaultRowHeight="16.5" zeroHeight="1" x14ac:dyDescent="0.3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 x14ac:dyDescent="0.3"/>
    <row r="2" spans="2:18" x14ac:dyDescent="0.3">
      <c r="B2" s="449" t="s">
        <v>968</v>
      </c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</row>
    <row r="3" spans="2:18" x14ac:dyDescent="0.3"/>
    <row r="4" spans="2:18" x14ac:dyDescent="0.3"/>
    <row r="5" spans="2:18" x14ac:dyDescent="0.3"/>
    <row r="6" spans="2:18" x14ac:dyDescent="0.3">
      <c r="G6">
        <v>1</v>
      </c>
    </row>
    <row r="7" spans="2:18" x14ac:dyDescent="0.3"/>
    <row r="8" spans="2:18" x14ac:dyDescent="0.3"/>
    <row r="9" spans="2:18" x14ac:dyDescent="0.3"/>
    <row r="10" spans="2:18" x14ac:dyDescent="0.3"/>
    <row r="11" spans="2:18" x14ac:dyDescent="0.3"/>
    <row r="12" spans="2:18" x14ac:dyDescent="0.3"/>
    <row r="13" spans="2:18" x14ac:dyDescent="0.3"/>
    <row r="14" spans="2:18" x14ac:dyDescent="0.3"/>
    <row r="15" spans="2:18" x14ac:dyDescent="0.3"/>
    <row r="16" spans="2:18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hidden="1" x14ac:dyDescent="0.3"/>
    <row r="35" customFormat="1" hidden="1" x14ac:dyDescent="0.3"/>
  </sheetData>
  <mergeCells count="1">
    <mergeCell ref="B2:R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 x14ac:dyDescent="0.3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 x14ac:dyDescent="0.3">
      <c r="B2" s="450" t="s">
        <v>966</v>
      </c>
      <c r="C2" s="450"/>
    </row>
    <row r="3" spans="2:3" ht="17.25" thickBot="1" x14ac:dyDescent="0.35">
      <c r="B3" s="1"/>
      <c r="C3" s="1"/>
    </row>
    <row r="4" spans="2:3" ht="18" thickTop="1" thickBot="1" x14ac:dyDescent="0.35">
      <c r="B4" s="355" t="s">
        <v>99</v>
      </c>
      <c r="C4" s="351" t="s">
        <v>967</v>
      </c>
    </row>
    <row r="5" spans="2:3" ht="17.25" thickTop="1" x14ac:dyDescent="0.3">
      <c r="B5" s="356" t="s">
        <v>962</v>
      </c>
      <c r="C5" s="357" t="str">
        <f>Input_Data!C5</f>
        <v>Trouser - Style 002</v>
      </c>
    </row>
    <row r="6" spans="2:3" x14ac:dyDescent="0.3">
      <c r="B6" s="356" t="s">
        <v>963</v>
      </c>
      <c r="C6" s="357" t="str">
        <f>Input_Data!C6</f>
        <v>NYTL</v>
      </c>
    </row>
    <row r="7" spans="2:3" x14ac:dyDescent="0.3">
      <c r="B7" s="356" t="s">
        <v>100</v>
      </c>
      <c r="C7" s="352">
        <f>8*60</f>
        <v>480</v>
      </c>
    </row>
    <row r="8" spans="2:3" x14ac:dyDescent="0.3">
      <c r="B8" s="356"/>
      <c r="C8" s="352"/>
    </row>
    <row r="9" spans="2:3" x14ac:dyDescent="0.3">
      <c r="B9" s="356"/>
      <c r="C9" s="353"/>
    </row>
    <row r="10" spans="2:3" x14ac:dyDescent="0.3">
      <c r="B10" s="356"/>
      <c r="C10" s="353"/>
    </row>
    <row r="11" spans="2:3" x14ac:dyDescent="0.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890-8E09-467C-BCC5-DA222B1F2A90}">
  <sheetPr codeName="Sheet23"/>
  <dimension ref="B1:XEU30"/>
  <sheetViews>
    <sheetView topLeftCell="A18" zoomScaleNormal="100" workbookViewId="0">
      <selection activeCell="E37" sqref="E37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57.5703125" style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16.5" x14ac:dyDescent="0.3">
      <c r="B5" s="429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</row>
    <row r="6" spans="2:7" ht="38.25" x14ac:dyDescent="0.3">
      <c r="B6" s="429">
        <v>2</v>
      </c>
      <c r="C6" s="425" t="s">
        <v>1200</v>
      </c>
      <c r="D6" s="428" t="s">
        <v>1086</v>
      </c>
      <c r="E6" s="431">
        <v>1</v>
      </c>
      <c r="F6" s="393">
        <v>0.91</v>
      </c>
      <c r="G6" s="434">
        <v>1</v>
      </c>
    </row>
    <row r="7" spans="2:7" ht="16.5" x14ac:dyDescent="0.3">
      <c r="B7" s="430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 x14ac:dyDescent="0.3">
      <c r="B8" s="430">
        <v>4</v>
      </c>
      <c r="C8" s="400" t="s">
        <v>1166</v>
      </c>
      <c r="D8" s="403" t="s">
        <v>1086</v>
      </c>
      <c r="E8" s="432">
        <v>17</v>
      </c>
      <c r="F8" s="393">
        <v>1.38</v>
      </c>
      <c r="G8" s="435">
        <v>1</v>
      </c>
    </row>
    <row r="9" spans="2:7" ht="38.25" x14ac:dyDescent="0.3">
      <c r="B9" s="430">
        <v>5</v>
      </c>
      <c r="C9" s="400" t="s">
        <v>1203</v>
      </c>
      <c r="D9" s="403" t="s">
        <v>1120</v>
      </c>
      <c r="E9" s="432">
        <v>3</v>
      </c>
      <c r="F9" s="358">
        <v>1.37</v>
      </c>
      <c r="G9" s="435">
        <v>1</v>
      </c>
    </row>
    <row r="10" spans="2:7" ht="16.5" x14ac:dyDescent="0.3">
      <c r="B10" s="430">
        <v>6</v>
      </c>
      <c r="C10" s="400" t="s">
        <v>1204</v>
      </c>
      <c r="D10" s="403" t="s">
        <v>1142</v>
      </c>
      <c r="E10" s="432" t="s">
        <v>1212</v>
      </c>
      <c r="F10" s="358">
        <v>1.33</v>
      </c>
      <c r="G10" s="435">
        <v>1</v>
      </c>
    </row>
    <row r="11" spans="2:7" ht="38.25" x14ac:dyDescent="0.3">
      <c r="B11" s="430">
        <v>7</v>
      </c>
      <c r="C11" s="400" t="s">
        <v>1205</v>
      </c>
      <c r="D11" s="403" t="s">
        <v>1086</v>
      </c>
      <c r="E11" s="432">
        <v>24</v>
      </c>
      <c r="F11" s="358">
        <v>0.69</v>
      </c>
      <c r="G11" s="435">
        <v>1</v>
      </c>
    </row>
    <row r="12" spans="2:7" ht="16.5" x14ac:dyDescent="0.3">
      <c r="B12" s="427">
        <v>8</v>
      </c>
      <c r="C12" s="425" t="s">
        <v>1201</v>
      </c>
      <c r="D12" s="428" t="s">
        <v>1120</v>
      </c>
      <c r="E12" s="432" t="s">
        <v>1213</v>
      </c>
      <c r="F12" s="358">
        <v>0.33</v>
      </c>
      <c r="G12" s="435">
        <v>1</v>
      </c>
    </row>
    <row r="13" spans="2:7" ht="16.5" x14ac:dyDescent="0.3">
      <c r="B13" s="429">
        <v>9</v>
      </c>
      <c r="C13" s="425" t="s">
        <v>1202</v>
      </c>
      <c r="D13" s="428" t="s">
        <v>1086</v>
      </c>
      <c r="E13" s="432">
        <v>0</v>
      </c>
      <c r="F13" s="358">
        <v>0.54</v>
      </c>
      <c r="G13" s="435">
        <v>1</v>
      </c>
    </row>
    <row r="14" spans="2:7" ht="16.5" x14ac:dyDescent="0.3">
      <c r="B14" s="429">
        <v>10</v>
      </c>
      <c r="C14" s="425" t="s">
        <v>1206</v>
      </c>
      <c r="D14" s="428" t="s">
        <v>1218</v>
      </c>
      <c r="E14" s="432">
        <v>9</v>
      </c>
      <c r="F14" s="358">
        <v>0.15</v>
      </c>
      <c r="G14" s="435">
        <v>1</v>
      </c>
    </row>
    <row r="15" spans="2:7" ht="16.5" x14ac:dyDescent="0.3">
      <c r="B15" s="430">
        <v>11</v>
      </c>
      <c r="C15" s="400" t="s">
        <v>1152</v>
      </c>
      <c r="D15" s="403" t="s">
        <v>1086</v>
      </c>
      <c r="E15" s="432" t="s">
        <v>1214</v>
      </c>
      <c r="F15" s="358">
        <v>0.86</v>
      </c>
      <c r="G15" s="435">
        <v>1</v>
      </c>
    </row>
    <row r="16" spans="2:7" ht="25.5" x14ac:dyDescent="0.3">
      <c r="B16" s="430">
        <v>12</v>
      </c>
      <c r="C16" s="400" t="s">
        <v>1151</v>
      </c>
      <c r="D16" s="403" t="s">
        <v>1120</v>
      </c>
      <c r="E16" s="432">
        <v>11</v>
      </c>
      <c r="F16" s="358">
        <v>0.59</v>
      </c>
      <c r="G16" s="435">
        <v>1</v>
      </c>
    </row>
    <row r="17" spans="2:7" ht="16.5" x14ac:dyDescent="0.3">
      <c r="B17" s="430">
        <v>13</v>
      </c>
      <c r="C17" s="400" t="s">
        <v>1150</v>
      </c>
      <c r="D17" s="403" t="s">
        <v>1086</v>
      </c>
      <c r="E17" s="432">
        <v>12</v>
      </c>
      <c r="F17" s="358">
        <v>0.78</v>
      </c>
      <c r="G17" s="435">
        <v>1</v>
      </c>
    </row>
    <row r="18" spans="2:7" ht="16.5" x14ac:dyDescent="0.3">
      <c r="B18" s="430">
        <v>14</v>
      </c>
      <c r="C18" s="400" t="s">
        <v>1149</v>
      </c>
      <c r="D18" s="403" t="s">
        <v>1120</v>
      </c>
      <c r="E18" s="432">
        <v>13</v>
      </c>
      <c r="F18" s="358">
        <v>0.36</v>
      </c>
      <c r="G18" s="435">
        <v>1</v>
      </c>
    </row>
    <row r="19" spans="2:7" ht="25.5" x14ac:dyDescent="0.3">
      <c r="B19" s="430">
        <v>15</v>
      </c>
      <c r="C19" s="400" t="s">
        <v>1207</v>
      </c>
      <c r="D19" s="403" t="s">
        <v>1086</v>
      </c>
      <c r="E19" s="432">
        <v>7</v>
      </c>
      <c r="F19" s="358">
        <v>1.19</v>
      </c>
      <c r="G19" s="435">
        <v>1</v>
      </c>
    </row>
    <row r="20" spans="2:7" ht="25.5" x14ac:dyDescent="0.3">
      <c r="B20" s="430">
        <v>16</v>
      </c>
      <c r="C20" s="400" t="s">
        <v>1208</v>
      </c>
      <c r="D20" s="403" t="s">
        <v>1086</v>
      </c>
      <c r="E20" s="433">
        <v>15</v>
      </c>
      <c r="F20" s="393">
        <v>1.27</v>
      </c>
      <c r="G20" s="433">
        <v>1</v>
      </c>
    </row>
    <row r="21" spans="2:7" ht="25.5" x14ac:dyDescent="0.3">
      <c r="B21" s="430">
        <v>17</v>
      </c>
      <c r="C21" s="400" t="s">
        <v>1144</v>
      </c>
      <c r="D21" s="403" t="s">
        <v>1086</v>
      </c>
      <c r="E21" s="432" t="s">
        <v>1215</v>
      </c>
      <c r="F21" s="358">
        <v>1.77</v>
      </c>
      <c r="G21" s="435">
        <v>1</v>
      </c>
    </row>
    <row r="22" spans="2:7" ht="16.5" x14ac:dyDescent="0.3">
      <c r="B22" s="430">
        <v>18</v>
      </c>
      <c r="C22" s="400" t="s">
        <v>1113</v>
      </c>
      <c r="D22" s="403" t="s">
        <v>1086</v>
      </c>
      <c r="E22" s="432" t="s">
        <v>1216</v>
      </c>
      <c r="F22" s="358">
        <v>0.95</v>
      </c>
      <c r="G22" s="435">
        <v>1</v>
      </c>
    </row>
    <row r="23" spans="2:7" ht="16.5" x14ac:dyDescent="0.3">
      <c r="B23" s="430">
        <v>19</v>
      </c>
      <c r="C23" s="400" t="s">
        <v>1143</v>
      </c>
      <c r="D23" s="403" t="s">
        <v>1142</v>
      </c>
      <c r="E23" s="432" t="s">
        <v>84</v>
      </c>
      <c r="F23" s="358">
        <v>1.3</v>
      </c>
      <c r="G23" s="435">
        <v>1</v>
      </c>
    </row>
    <row r="24" spans="2:7" ht="16.5" x14ac:dyDescent="0.3">
      <c r="B24" s="430">
        <v>20</v>
      </c>
      <c r="C24" s="400" t="s">
        <v>1141</v>
      </c>
      <c r="D24" s="403" t="s">
        <v>1086</v>
      </c>
      <c r="E24" s="432" t="s">
        <v>1217</v>
      </c>
      <c r="F24" s="358">
        <v>0.18</v>
      </c>
      <c r="G24" s="435">
        <v>1</v>
      </c>
    </row>
    <row r="25" spans="2:7" ht="16.5" x14ac:dyDescent="0.3">
      <c r="B25" s="430">
        <v>21</v>
      </c>
      <c r="C25" s="400" t="s">
        <v>1140</v>
      </c>
      <c r="D25" s="403" t="s">
        <v>1086</v>
      </c>
      <c r="E25" s="432">
        <v>19</v>
      </c>
      <c r="F25" s="358">
        <v>1.43</v>
      </c>
      <c r="G25" s="435">
        <v>1</v>
      </c>
    </row>
    <row r="26" spans="2:7" ht="16.5" x14ac:dyDescent="0.3">
      <c r="B26" s="430">
        <v>22</v>
      </c>
      <c r="C26" s="400" t="s">
        <v>1209</v>
      </c>
      <c r="D26" s="403" t="s">
        <v>1086</v>
      </c>
      <c r="E26" s="432">
        <v>5</v>
      </c>
      <c r="F26" s="358">
        <v>1.2</v>
      </c>
      <c r="G26" s="435">
        <v>1</v>
      </c>
    </row>
    <row r="27" spans="2:7" ht="16.5" x14ac:dyDescent="0.3">
      <c r="B27" s="430">
        <v>23</v>
      </c>
      <c r="C27" s="400" t="s">
        <v>1137</v>
      </c>
      <c r="D27" s="403" t="s">
        <v>1120</v>
      </c>
      <c r="E27" s="432">
        <v>6</v>
      </c>
      <c r="F27" s="4">
        <v>1.28</v>
      </c>
      <c r="G27" s="435">
        <v>1</v>
      </c>
    </row>
    <row r="28" spans="2:7" ht="16.5" x14ac:dyDescent="0.3">
      <c r="B28" s="430">
        <v>24</v>
      </c>
      <c r="C28" s="400" t="s">
        <v>1210</v>
      </c>
      <c r="D28" s="403" t="s">
        <v>1086</v>
      </c>
      <c r="E28" s="432">
        <v>25</v>
      </c>
      <c r="F28" s="4">
        <v>0.39</v>
      </c>
      <c r="G28" s="435">
        <v>1</v>
      </c>
    </row>
    <row r="29" spans="2:7" ht="16.5" x14ac:dyDescent="0.3">
      <c r="B29" s="430">
        <v>25</v>
      </c>
      <c r="C29" s="398" t="s">
        <v>1211</v>
      </c>
      <c r="D29" s="403" t="s">
        <v>1086</v>
      </c>
      <c r="E29" s="432">
        <v>0</v>
      </c>
      <c r="F29" s="4">
        <v>1.1000000000000001</v>
      </c>
      <c r="G29" s="435">
        <v>1</v>
      </c>
    </row>
    <row r="30" spans="2:7" ht="25.5" x14ac:dyDescent="0.3">
      <c r="B30" s="430">
        <v>26</v>
      </c>
      <c r="C30" s="402" t="s">
        <v>1136</v>
      </c>
      <c r="D30" s="401" t="s">
        <v>1196</v>
      </c>
      <c r="E30" s="432">
        <v>23</v>
      </c>
      <c r="F30" s="4">
        <v>0.84</v>
      </c>
      <c r="G30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E048-E964-4B10-8933-09ACB1BC0448}">
  <sheetPr codeName="Sheet24"/>
  <dimension ref="B1:XEU38"/>
  <sheetViews>
    <sheetView topLeftCell="A35" zoomScaleNormal="100" workbookViewId="0">
      <selection activeCell="D61" sqref="D61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 x14ac:dyDescent="0.3">
      <c r="B5" s="436">
        <v>1</v>
      </c>
      <c r="C5" s="425" t="s">
        <v>1170</v>
      </c>
      <c r="D5" s="428" t="s">
        <v>1169</v>
      </c>
      <c r="E5" s="431">
        <v>0</v>
      </c>
      <c r="F5" s="393">
        <v>0.56999999999999995</v>
      </c>
      <c r="G5" s="434">
        <v>1</v>
      </c>
    </row>
    <row r="6" spans="2:7" ht="51" x14ac:dyDescent="0.3">
      <c r="B6" s="436">
        <v>2</v>
      </c>
      <c r="C6" s="425" t="s">
        <v>1200</v>
      </c>
      <c r="D6" s="428" t="s">
        <v>1086</v>
      </c>
      <c r="E6" s="431">
        <v>1</v>
      </c>
      <c r="F6" s="393">
        <v>0.61</v>
      </c>
      <c r="G6" s="434">
        <v>1</v>
      </c>
    </row>
    <row r="7" spans="2:7" ht="16.5" x14ac:dyDescent="0.3">
      <c r="B7" s="437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 x14ac:dyDescent="0.3">
      <c r="B8" s="437">
        <v>4</v>
      </c>
      <c r="C8" s="400" t="s">
        <v>1166</v>
      </c>
      <c r="D8" s="403" t="s">
        <v>1086</v>
      </c>
      <c r="E8" s="432">
        <v>23</v>
      </c>
      <c r="F8" s="393">
        <v>1.38</v>
      </c>
      <c r="G8" s="435">
        <v>1</v>
      </c>
    </row>
    <row r="9" spans="2:7" ht="51" x14ac:dyDescent="0.3">
      <c r="B9" s="437">
        <v>5</v>
      </c>
      <c r="C9" s="400" t="s">
        <v>1165</v>
      </c>
      <c r="D9" s="403" t="s">
        <v>1120</v>
      </c>
      <c r="E9" s="432">
        <v>3</v>
      </c>
      <c r="F9" s="358">
        <v>0.38</v>
      </c>
      <c r="G9" s="435">
        <v>1</v>
      </c>
    </row>
    <row r="10" spans="2:7" ht="16.5" x14ac:dyDescent="0.3">
      <c r="B10" s="437">
        <v>6</v>
      </c>
      <c r="C10" s="400" t="s">
        <v>1164</v>
      </c>
      <c r="D10" s="403" t="s">
        <v>1163</v>
      </c>
      <c r="E10" s="432">
        <v>5</v>
      </c>
      <c r="F10" s="358">
        <v>0.99</v>
      </c>
      <c r="G10" s="435">
        <v>1</v>
      </c>
    </row>
    <row r="11" spans="2:7" ht="16.5" x14ac:dyDescent="0.3">
      <c r="B11" s="437">
        <v>7</v>
      </c>
      <c r="C11" s="400" t="s">
        <v>1162</v>
      </c>
      <c r="D11" s="403" t="s">
        <v>1142</v>
      </c>
      <c r="E11" s="432">
        <v>24</v>
      </c>
      <c r="F11" s="358">
        <v>0.49</v>
      </c>
      <c r="G11" s="435">
        <v>1</v>
      </c>
    </row>
    <row r="12" spans="2:7" ht="16.5" x14ac:dyDescent="0.3">
      <c r="B12" s="437">
        <v>8</v>
      </c>
      <c r="C12" s="400" t="s">
        <v>1161</v>
      </c>
      <c r="D12" s="403" t="s">
        <v>1142</v>
      </c>
      <c r="E12" s="432">
        <v>26</v>
      </c>
      <c r="F12" s="358">
        <v>0.93</v>
      </c>
      <c r="G12" s="435">
        <v>1</v>
      </c>
    </row>
    <row r="13" spans="2:7" ht="16.5" x14ac:dyDescent="0.3">
      <c r="B13" s="437">
        <v>9</v>
      </c>
      <c r="C13" s="400" t="s">
        <v>1160</v>
      </c>
      <c r="D13" s="403" t="s">
        <v>1086</v>
      </c>
      <c r="E13" s="432">
        <v>0</v>
      </c>
      <c r="F13" s="358">
        <v>0.3</v>
      </c>
      <c r="G13" s="435">
        <v>1</v>
      </c>
    </row>
    <row r="14" spans="2:7" ht="38.25" x14ac:dyDescent="0.3">
      <c r="B14" s="437">
        <v>10</v>
      </c>
      <c r="C14" s="400" t="s">
        <v>1159</v>
      </c>
      <c r="D14" s="403" t="s">
        <v>1086</v>
      </c>
      <c r="E14" s="432">
        <v>31</v>
      </c>
      <c r="F14" s="358">
        <v>0.39</v>
      </c>
      <c r="G14" s="435">
        <v>1</v>
      </c>
    </row>
    <row r="15" spans="2:7" ht="16.5" x14ac:dyDescent="0.3">
      <c r="B15" s="427">
        <v>11</v>
      </c>
      <c r="C15" s="425" t="s">
        <v>1158</v>
      </c>
      <c r="D15" s="428" t="s">
        <v>1120</v>
      </c>
      <c r="E15" s="432">
        <v>14</v>
      </c>
      <c r="F15" s="358">
        <v>0.09</v>
      </c>
      <c r="G15" s="435">
        <v>1</v>
      </c>
    </row>
    <row r="16" spans="2:7" ht="16.5" x14ac:dyDescent="0.3">
      <c r="B16" s="436">
        <v>12</v>
      </c>
      <c r="C16" s="425" t="s">
        <v>1157</v>
      </c>
      <c r="D16" s="428" t="s">
        <v>1120</v>
      </c>
      <c r="E16" s="432">
        <v>9</v>
      </c>
      <c r="F16" s="358">
        <v>0.24</v>
      </c>
      <c r="G16" s="435">
        <v>1</v>
      </c>
    </row>
    <row r="17" spans="2:7" ht="16.5" x14ac:dyDescent="0.3">
      <c r="B17" s="436">
        <v>13</v>
      </c>
      <c r="C17" s="425" t="s">
        <v>1156</v>
      </c>
      <c r="D17" s="428" t="s">
        <v>1086</v>
      </c>
      <c r="E17" s="432">
        <v>0</v>
      </c>
      <c r="F17" s="358">
        <v>0.3</v>
      </c>
      <c r="G17" s="435">
        <v>1</v>
      </c>
    </row>
    <row r="18" spans="2:7" ht="16.5" x14ac:dyDescent="0.3">
      <c r="B18" s="436">
        <v>14</v>
      </c>
      <c r="C18" s="425" t="s">
        <v>1155</v>
      </c>
      <c r="D18" s="428" t="s">
        <v>1086</v>
      </c>
      <c r="E18" s="432">
        <v>0</v>
      </c>
      <c r="F18" s="393">
        <v>0.24</v>
      </c>
      <c r="G18" s="435">
        <v>1</v>
      </c>
    </row>
    <row r="19" spans="2:7" ht="16.5" x14ac:dyDescent="0.3">
      <c r="B19" s="436">
        <v>15</v>
      </c>
      <c r="C19" s="425" t="s">
        <v>1154</v>
      </c>
      <c r="D19" s="428" t="s">
        <v>1122</v>
      </c>
      <c r="E19" s="432">
        <v>13</v>
      </c>
      <c r="F19" s="358">
        <v>0.06</v>
      </c>
      <c r="G19" s="435">
        <v>1</v>
      </c>
    </row>
    <row r="20" spans="2:7" ht="16.5" x14ac:dyDescent="0.3">
      <c r="B20" s="437">
        <v>16</v>
      </c>
      <c r="C20" s="400" t="s">
        <v>1153</v>
      </c>
      <c r="D20" s="403" t="s">
        <v>1086</v>
      </c>
      <c r="E20" s="432">
        <v>15</v>
      </c>
      <c r="F20" s="358">
        <v>0.09</v>
      </c>
      <c r="G20" s="435">
        <v>1</v>
      </c>
    </row>
    <row r="21" spans="2:7" ht="16.5" x14ac:dyDescent="0.3">
      <c r="B21" s="437">
        <v>17</v>
      </c>
      <c r="C21" s="400" t="s">
        <v>1152</v>
      </c>
      <c r="D21" s="403" t="s">
        <v>1086</v>
      </c>
      <c r="E21" s="432" t="s">
        <v>1219</v>
      </c>
      <c r="F21" s="358">
        <v>0.86</v>
      </c>
      <c r="G21" s="435">
        <v>1</v>
      </c>
    </row>
    <row r="22" spans="2:7" ht="25.5" x14ac:dyDescent="0.3">
      <c r="B22" s="437">
        <v>18</v>
      </c>
      <c r="C22" s="400" t="s">
        <v>1151</v>
      </c>
      <c r="D22" s="403" t="s">
        <v>1120</v>
      </c>
      <c r="E22" s="432">
        <v>17</v>
      </c>
      <c r="F22" s="358">
        <v>0.59</v>
      </c>
      <c r="G22" s="435">
        <v>1</v>
      </c>
    </row>
    <row r="23" spans="2:7" ht="16.5" x14ac:dyDescent="0.3">
      <c r="B23" s="437">
        <v>19</v>
      </c>
      <c r="C23" s="400" t="s">
        <v>1150</v>
      </c>
      <c r="D23" s="403" t="s">
        <v>1086</v>
      </c>
      <c r="E23" s="432">
        <v>18</v>
      </c>
      <c r="F23" s="358">
        <v>0.78</v>
      </c>
      <c r="G23" s="435">
        <v>1</v>
      </c>
    </row>
    <row r="24" spans="2:7" ht="16.5" x14ac:dyDescent="0.3">
      <c r="B24" s="437">
        <v>20</v>
      </c>
      <c r="C24" s="400" t="s">
        <v>1149</v>
      </c>
      <c r="D24" s="403" t="s">
        <v>1120</v>
      </c>
      <c r="E24" s="432">
        <v>19</v>
      </c>
      <c r="F24" s="358">
        <v>0.36</v>
      </c>
      <c r="G24" s="435">
        <v>1</v>
      </c>
    </row>
    <row r="25" spans="2:7" ht="38.25" x14ac:dyDescent="0.3">
      <c r="B25" s="437">
        <v>21</v>
      </c>
      <c r="C25" s="400" t="s">
        <v>1207</v>
      </c>
      <c r="D25" s="403" t="s">
        <v>1086</v>
      </c>
      <c r="E25" s="432">
        <v>10</v>
      </c>
      <c r="F25" s="358">
        <v>1.19</v>
      </c>
      <c r="G25" s="435">
        <v>1</v>
      </c>
    </row>
    <row r="26" spans="2:7" ht="38.25" x14ac:dyDescent="0.3">
      <c r="B26" s="437">
        <v>22</v>
      </c>
      <c r="C26" s="400" t="s">
        <v>1208</v>
      </c>
      <c r="D26" s="403" t="s">
        <v>1086</v>
      </c>
      <c r="E26" s="433">
        <v>21</v>
      </c>
      <c r="F26" s="393">
        <v>1.27</v>
      </c>
      <c r="G26" s="433">
        <v>1</v>
      </c>
    </row>
    <row r="27" spans="2:7" ht="38.25" x14ac:dyDescent="0.3">
      <c r="B27" s="437">
        <v>23</v>
      </c>
      <c r="C27" s="400" t="s">
        <v>1144</v>
      </c>
      <c r="D27" s="403" t="s">
        <v>1086</v>
      </c>
      <c r="E27" s="432" t="s">
        <v>1220</v>
      </c>
      <c r="F27" s="358">
        <v>0.95</v>
      </c>
      <c r="G27" s="435">
        <v>1</v>
      </c>
    </row>
    <row r="28" spans="2:7" ht="16.5" x14ac:dyDescent="0.3">
      <c r="B28" s="437">
        <v>24</v>
      </c>
      <c r="C28" s="400" t="s">
        <v>1113</v>
      </c>
      <c r="D28" s="403" t="s">
        <v>1086</v>
      </c>
      <c r="E28" s="432" t="s">
        <v>1221</v>
      </c>
      <c r="F28" s="358">
        <v>0.95</v>
      </c>
      <c r="G28" s="435">
        <v>1</v>
      </c>
    </row>
    <row r="29" spans="2:7" ht="16.5" x14ac:dyDescent="0.3">
      <c r="B29" s="437">
        <v>25</v>
      </c>
      <c r="C29" s="400" t="s">
        <v>1143</v>
      </c>
      <c r="D29" s="403" t="s">
        <v>1142</v>
      </c>
      <c r="E29" s="432" t="s">
        <v>1222</v>
      </c>
      <c r="F29" s="358">
        <v>1.3</v>
      </c>
      <c r="G29" s="435">
        <v>1</v>
      </c>
    </row>
    <row r="30" spans="2:7" ht="16.5" x14ac:dyDescent="0.3">
      <c r="B30" s="437">
        <v>26</v>
      </c>
      <c r="C30" s="400" t="s">
        <v>1141</v>
      </c>
      <c r="D30" s="403" t="s">
        <v>1086</v>
      </c>
      <c r="E30" s="432" t="s">
        <v>1223</v>
      </c>
      <c r="F30" s="358">
        <v>0.18</v>
      </c>
      <c r="G30" s="435">
        <v>1</v>
      </c>
    </row>
    <row r="31" spans="2:7" ht="25.5" x14ac:dyDescent="0.3">
      <c r="B31" s="437">
        <v>27</v>
      </c>
      <c r="C31" s="400" t="s">
        <v>1140</v>
      </c>
      <c r="D31" s="403" t="s">
        <v>1086</v>
      </c>
      <c r="E31" s="432">
        <v>25</v>
      </c>
      <c r="F31" s="358">
        <v>1.43</v>
      </c>
      <c r="G31" s="435">
        <v>2</v>
      </c>
    </row>
    <row r="32" spans="2:7" ht="16.5" x14ac:dyDescent="0.3">
      <c r="B32" s="437">
        <v>28</v>
      </c>
      <c r="C32" s="400" t="s">
        <v>1139</v>
      </c>
      <c r="D32" s="403" t="s">
        <v>1086</v>
      </c>
      <c r="E32" s="432">
        <v>6</v>
      </c>
      <c r="F32" s="358">
        <v>1.02</v>
      </c>
      <c r="G32" s="435">
        <v>1</v>
      </c>
    </row>
    <row r="33" spans="2:7" ht="16.5" x14ac:dyDescent="0.3">
      <c r="B33" s="437">
        <v>29</v>
      </c>
      <c r="C33" s="398" t="s">
        <v>1138</v>
      </c>
      <c r="D33" s="403" t="s">
        <v>1086</v>
      </c>
      <c r="E33" s="432">
        <v>28</v>
      </c>
      <c r="F33" s="393">
        <v>0.18</v>
      </c>
      <c r="G33" s="435">
        <v>1</v>
      </c>
    </row>
    <row r="34" spans="2:7" ht="25.5" x14ac:dyDescent="0.3">
      <c r="B34" s="437">
        <v>30</v>
      </c>
      <c r="C34" s="400" t="s">
        <v>1137</v>
      </c>
      <c r="D34" s="403" t="s">
        <v>1120</v>
      </c>
      <c r="E34" s="432">
        <v>8</v>
      </c>
      <c r="F34" s="4">
        <v>1.28</v>
      </c>
      <c r="G34" s="435">
        <v>1</v>
      </c>
    </row>
    <row r="35" spans="2:7" ht="25.5" x14ac:dyDescent="0.3">
      <c r="B35" s="437">
        <v>31</v>
      </c>
      <c r="C35" s="400" t="s">
        <v>1210</v>
      </c>
      <c r="D35" s="403" t="s">
        <v>1086</v>
      </c>
      <c r="E35" s="432">
        <v>33</v>
      </c>
      <c r="F35" s="4">
        <v>0.39</v>
      </c>
      <c r="G35" s="435">
        <v>1</v>
      </c>
    </row>
    <row r="36" spans="2:7" ht="16.5" x14ac:dyDescent="0.3">
      <c r="B36" s="437">
        <v>32</v>
      </c>
      <c r="C36" s="398" t="s">
        <v>1133</v>
      </c>
      <c r="D36" s="403" t="s">
        <v>1086</v>
      </c>
      <c r="E36" s="432">
        <v>0</v>
      </c>
      <c r="F36" s="4">
        <v>0.82</v>
      </c>
      <c r="G36" s="435">
        <v>1</v>
      </c>
    </row>
    <row r="37" spans="2:7" ht="16.5" x14ac:dyDescent="0.3">
      <c r="B37" s="437">
        <v>33</v>
      </c>
      <c r="C37" s="398" t="s">
        <v>1132</v>
      </c>
      <c r="D37" s="403" t="s">
        <v>1086</v>
      </c>
      <c r="E37" s="432">
        <v>0</v>
      </c>
      <c r="F37" s="4">
        <v>0.28000000000000003</v>
      </c>
      <c r="G37" s="435">
        <v>1</v>
      </c>
    </row>
    <row r="38" spans="2:7" ht="38.25" x14ac:dyDescent="0.3">
      <c r="B38" s="437">
        <v>34</v>
      </c>
      <c r="C38" s="402" t="s">
        <v>1136</v>
      </c>
      <c r="D38" s="401" t="s">
        <v>1196</v>
      </c>
      <c r="E38" s="432">
        <v>30</v>
      </c>
      <c r="F38" s="4">
        <v>0.84</v>
      </c>
      <c r="G38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5AFC-0EC4-475C-9BCC-9CD1A2790868}">
  <sheetPr codeName="Sheet22"/>
  <dimension ref="B1:XEU42"/>
  <sheetViews>
    <sheetView topLeftCell="A19" zoomScale="90" zoomScaleNormal="90" workbookViewId="0">
      <selection activeCell="XEV39" sqref="XEV3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 x14ac:dyDescent="0.3">
      <c r="B5" s="405">
        <v>1</v>
      </c>
      <c r="C5" s="425" t="s">
        <v>1170</v>
      </c>
      <c r="D5" s="426" t="s">
        <v>1169</v>
      </c>
      <c r="E5" s="431">
        <v>0</v>
      </c>
      <c r="F5" s="393">
        <v>0.48</v>
      </c>
      <c r="G5" s="434">
        <v>1</v>
      </c>
    </row>
    <row r="6" spans="2:7" ht="25.5" x14ac:dyDescent="0.3">
      <c r="B6" s="405">
        <v>2</v>
      </c>
      <c r="C6" s="425" t="s">
        <v>1168</v>
      </c>
      <c r="D6" s="426" t="s">
        <v>1086</v>
      </c>
      <c r="E6" s="431">
        <v>1</v>
      </c>
      <c r="F6" s="393">
        <v>0.4</v>
      </c>
      <c r="G6" s="434">
        <v>1</v>
      </c>
    </row>
    <row r="7" spans="2:7" ht="25.5" x14ac:dyDescent="0.3">
      <c r="B7" s="405">
        <v>3</v>
      </c>
      <c r="C7" s="425" t="s">
        <v>1167</v>
      </c>
      <c r="D7" s="426" t="s">
        <v>1086</v>
      </c>
      <c r="E7" s="431">
        <v>2</v>
      </c>
      <c r="F7" s="393">
        <v>0.51</v>
      </c>
      <c r="G7" s="434">
        <v>1</v>
      </c>
    </row>
    <row r="8" spans="2:7" ht="16.5" x14ac:dyDescent="0.3">
      <c r="B8" s="399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</row>
    <row r="9" spans="2:7" ht="16.5" x14ac:dyDescent="0.3">
      <c r="B9" s="399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</row>
    <row r="10" spans="2:7" ht="51" x14ac:dyDescent="0.3">
      <c r="B10" s="399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</row>
    <row r="11" spans="2:7" ht="16.5" x14ac:dyDescent="0.3">
      <c r="B11" s="399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</row>
    <row r="12" spans="2:7" ht="16.5" x14ac:dyDescent="0.3">
      <c r="B12" s="399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</row>
    <row r="13" spans="2:7" ht="16.5" x14ac:dyDescent="0.3">
      <c r="B13" s="399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</row>
    <row r="14" spans="2:7" ht="16.5" x14ac:dyDescent="0.3">
      <c r="B14" s="399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</row>
    <row r="15" spans="2:7" ht="38.25" x14ac:dyDescent="0.3">
      <c r="B15" s="399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</row>
    <row r="16" spans="2:7" ht="16.5" x14ac:dyDescent="0.3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</row>
    <row r="17" spans="2:7" ht="25.5" x14ac:dyDescent="0.3">
      <c r="B17" s="405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</row>
    <row r="18" spans="2:7" ht="16.5" x14ac:dyDescent="0.3">
      <c r="B18" s="405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</row>
    <row r="19" spans="2:7" ht="16.5" x14ac:dyDescent="0.3">
      <c r="B19" s="405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</row>
    <row r="20" spans="2:7" ht="16.5" x14ac:dyDescent="0.3">
      <c r="B20" s="405">
        <v>16</v>
      </c>
      <c r="C20" s="425" t="s">
        <v>1154</v>
      </c>
      <c r="D20" s="426" t="s">
        <v>1122</v>
      </c>
      <c r="E20" s="432">
        <v>14</v>
      </c>
      <c r="F20" s="358">
        <v>0.06</v>
      </c>
      <c r="G20" s="435">
        <v>1</v>
      </c>
    </row>
    <row r="21" spans="2:7" ht="16.5" x14ac:dyDescent="0.3">
      <c r="B21" s="399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</row>
    <row r="22" spans="2:7" ht="16.5" x14ac:dyDescent="0.3">
      <c r="B22" s="399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</row>
    <row r="23" spans="2:7" ht="25.5" x14ac:dyDescent="0.3">
      <c r="B23" s="399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</row>
    <row r="24" spans="2:7" ht="16.5" x14ac:dyDescent="0.3">
      <c r="B24" s="399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</row>
    <row r="25" spans="2:7" ht="16.5" x14ac:dyDescent="0.3">
      <c r="B25" s="399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</row>
    <row r="26" spans="2:7" ht="25.5" x14ac:dyDescent="0.3">
      <c r="B26" s="399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</row>
    <row r="27" spans="2:7" ht="25.5" x14ac:dyDescent="0.3">
      <c r="B27" s="399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</row>
    <row r="28" spans="2:7" ht="25.5" x14ac:dyDescent="0.3">
      <c r="B28" s="399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</row>
    <row r="29" spans="2:7" ht="25.5" x14ac:dyDescent="0.3">
      <c r="B29" s="399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</row>
    <row r="30" spans="2:7" ht="38.25" x14ac:dyDescent="0.3">
      <c r="B30" s="399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</row>
    <row r="31" spans="2:7" ht="16.5" x14ac:dyDescent="0.3">
      <c r="B31" s="399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</row>
    <row r="32" spans="2:7" ht="16.5" x14ac:dyDescent="0.3">
      <c r="B32" s="399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</row>
    <row r="33" spans="2:7" ht="16.5" x14ac:dyDescent="0.3">
      <c r="B33" s="399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</row>
    <row r="34" spans="2:7" ht="25.5" x14ac:dyDescent="0.3">
      <c r="B34" s="399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</row>
    <row r="35" spans="2:7" ht="16.5" x14ac:dyDescent="0.3">
      <c r="B35" s="399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</row>
    <row r="36" spans="2:7" ht="16.5" x14ac:dyDescent="0.3">
      <c r="B36" s="399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</row>
    <row r="37" spans="2:7" ht="25.5" x14ac:dyDescent="0.3">
      <c r="B37" s="399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</row>
    <row r="38" spans="2:7" ht="16.5" x14ac:dyDescent="0.3">
      <c r="B38" s="399">
        <v>34</v>
      </c>
      <c r="C38" s="400" t="s">
        <v>1135</v>
      </c>
      <c r="D38" s="403" t="s">
        <v>1086</v>
      </c>
      <c r="E38" s="432">
        <v>35</v>
      </c>
      <c r="F38" s="4">
        <v>7.0000000000000007E-2</v>
      </c>
      <c r="G38" s="435">
        <v>1</v>
      </c>
    </row>
    <row r="39" spans="2:7" ht="16.5" x14ac:dyDescent="0.3">
      <c r="B39" s="399">
        <v>35</v>
      </c>
      <c r="C39" s="398" t="s">
        <v>1134</v>
      </c>
      <c r="D39" s="403" t="s">
        <v>1086</v>
      </c>
      <c r="E39" s="432">
        <v>37</v>
      </c>
      <c r="F39" s="4">
        <v>0.32</v>
      </c>
      <c r="G39" s="435">
        <v>1</v>
      </c>
    </row>
    <row r="40" spans="2:7" ht="16.5" x14ac:dyDescent="0.3">
      <c r="B40" s="399">
        <v>36</v>
      </c>
      <c r="C40" s="398" t="s">
        <v>1133</v>
      </c>
      <c r="D40" s="403" t="s">
        <v>1086</v>
      </c>
      <c r="E40" s="432">
        <v>0</v>
      </c>
      <c r="F40" s="4">
        <v>0.82</v>
      </c>
      <c r="G40" s="435">
        <v>1</v>
      </c>
    </row>
    <row r="41" spans="2:7" ht="16.5" x14ac:dyDescent="0.3">
      <c r="B41" s="399">
        <v>37</v>
      </c>
      <c r="C41" s="398" t="s">
        <v>1132</v>
      </c>
      <c r="D41" s="403" t="s">
        <v>1086</v>
      </c>
      <c r="E41" s="432">
        <v>0</v>
      </c>
      <c r="F41" s="4">
        <v>0.28000000000000003</v>
      </c>
      <c r="G41" s="435">
        <v>1</v>
      </c>
    </row>
    <row r="42" spans="2:7" ht="38.25" x14ac:dyDescent="0.3">
      <c r="B42" s="42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sheetPr codeName="Sheet20"/>
  <dimension ref="B1:XEU37"/>
  <sheetViews>
    <sheetView zoomScaleNormal="100" workbookViewId="0">
      <selection activeCell="D39" sqref="D3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30</v>
      </c>
      <c r="F36" s="393">
        <v>1.67</v>
      </c>
      <c r="G36" s="393">
        <v>2</v>
      </c>
    </row>
    <row r="37" spans="2:7" x14ac:dyDescent="0.3">
      <c r="B37" s="393">
        <v>33</v>
      </c>
      <c r="C37" s="394" t="s">
        <v>1197</v>
      </c>
      <c r="D37" s="396" t="s">
        <v>1086</v>
      </c>
      <c r="E37" s="393" t="s">
        <v>1198</v>
      </c>
      <c r="F37" s="393">
        <v>0.67</v>
      </c>
      <c r="G37" s="393">
        <v>1</v>
      </c>
    </row>
  </sheetData>
  <mergeCells count="1">
    <mergeCell ref="B2:G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1837-BFCC-4F8D-BABD-EA71549DE98E}">
  <sheetPr codeName="Sheet21"/>
  <dimension ref="A6:XFC31"/>
  <sheetViews>
    <sheetView topLeftCell="A11" zoomScale="80" zoomScaleNormal="80" workbookViewId="0">
      <selection activeCell="X38" sqref="X38"/>
    </sheetView>
  </sheetViews>
  <sheetFormatPr defaultColWidth="10.28515625" defaultRowHeight="15.75" x14ac:dyDescent="0.25"/>
  <cols>
    <col min="1" max="1" width="10.28515625" style="404"/>
    <col min="2" max="22" width="12.28515625" style="404" customWidth="1"/>
    <col min="23" max="16383" width="10.28515625" style="404"/>
    <col min="16384" max="16384" width="10.28515625" style="397"/>
  </cols>
  <sheetData>
    <row r="6" spans="2:15" s="404" customFormat="1" x14ac:dyDescent="0.3">
      <c r="B6" s="405" t="s">
        <v>1190</v>
      </c>
      <c r="C6" s="405">
        <v>16</v>
      </c>
      <c r="D6" s="424" t="s">
        <v>1189</v>
      </c>
      <c r="E6" s="424" t="s">
        <v>1188</v>
      </c>
      <c r="F6" s="405" t="s">
        <v>1187</v>
      </c>
      <c r="G6" s="405" t="s">
        <v>1186</v>
      </c>
      <c r="H6" s="405">
        <v>6</v>
      </c>
      <c r="I6" s="405">
        <v>7</v>
      </c>
      <c r="J6" s="405" t="s">
        <v>1185</v>
      </c>
      <c r="K6" s="405">
        <v>28</v>
      </c>
      <c r="L6" s="405" t="s">
        <v>1184</v>
      </c>
      <c r="M6" s="405">
        <v>33</v>
      </c>
      <c r="N6" s="423" t="s">
        <v>1183</v>
      </c>
      <c r="O6" s="423" t="s">
        <v>1182</v>
      </c>
    </row>
    <row r="10" spans="2:15" s="404" customFormat="1" x14ac:dyDescent="0.3">
      <c r="B10" s="405" t="s">
        <v>1177</v>
      </c>
      <c r="C10" s="405">
        <v>17</v>
      </c>
      <c r="D10" s="405">
        <v>18</v>
      </c>
      <c r="E10" s="405">
        <v>19</v>
      </c>
      <c r="F10" s="405">
        <v>20</v>
      </c>
      <c r="G10" s="405">
        <v>21</v>
      </c>
      <c r="H10" s="424" t="s">
        <v>1181</v>
      </c>
      <c r="I10" s="405">
        <v>26</v>
      </c>
      <c r="J10" s="405">
        <v>27</v>
      </c>
      <c r="K10" s="424" t="s">
        <v>1180</v>
      </c>
      <c r="L10" s="405">
        <v>33</v>
      </c>
      <c r="M10" s="405">
        <v>34</v>
      </c>
      <c r="N10" s="423">
        <v>1</v>
      </c>
      <c r="O10" s="422" t="s">
        <v>1179</v>
      </c>
    </row>
    <row r="21" spans="2:27" x14ac:dyDescent="0.25">
      <c r="B21" s="451" t="s">
        <v>1171</v>
      </c>
      <c r="C21" s="451"/>
      <c r="D21" s="405" t="s">
        <v>1171</v>
      </c>
      <c r="E21" s="451" t="s">
        <v>1171</v>
      </c>
      <c r="F21" s="451"/>
      <c r="G21" s="453" t="s">
        <v>1171</v>
      </c>
      <c r="H21" s="453"/>
      <c r="I21" s="451" t="s">
        <v>1171</v>
      </c>
      <c r="J21" s="451"/>
      <c r="K21" s="453" t="s">
        <v>1171</v>
      </c>
      <c r="L21" s="453"/>
      <c r="M21" s="451" t="s">
        <v>1171</v>
      </c>
      <c r="N21" s="451"/>
      <c r="O21" s="405" t="s">
        <v>1171</v>
      </c>
      <c r="P21" s="451" t="s">
        <v>1171</v>
      </c>
      <c r="Q21" s="451"/>
      <c r="R21" s="453" t="s">
        <v>1171</v>
      </c>
      <c r="S21" s="453"/>
      <c r="T21" s="420" t="s">
        <v>1171</v>
      </c>
      <c r="U21" s="420"/>
      <c r="V21" s="405" t="s">
        <v>1171</v>
      </c>
      <c r="W21" s="451" t="s">
        <v>1171</v>
      </c>
      <c r="X21" s="451"/>
      <c r="Y21" s="458" t="s">
        <v>1171</v>
      </c>
      <c r="Z21" s="458"/>
      <c r="AA21" s="418"/>
    </row>
    <row r="22" spans="2:27" ht="31.5" x14ac:dyDescent="0.25">
      <c r="B22" s="408" t="s">
        <v>1172</v>
      </c>
      <c r="C22" s="408" t="s">
        <v>1172</v>
      </c>
      <c r="D22" s="405" t="s">
        <v>1122</v>
      </c>
      <c r="E22" s="420" t="s">
        <v>1174</v>
      </c>
      <c r="F22" s="420" t="s">
        <v>1174</v>
      </c>
      <c r="G22" s="407" t="s">
        <v>1172</v>
      </c>
      <c r="H22" s="407" t="s">
        <v>1172</v>
      </c>
      <c r="I22" s="408" t="s">
        <v>1172</v>
      </c>
      <c r="J22" s="408" t="s">
        <v>1172</v>
      </c>
      <c r="K22" s="407" t="s">
        <v>1172</v>
      </c>
      <c r="L22" s="407" t="s">
        <v>1172</v>
      </c>
      <c r="M22" s="451" t="s">
        <v>1174</v>
      </c>
      <c r="N22" s="451"/>
      <c r="O22" s="407" t="s">
        <v>1163</v>
      </c>
      <c r="P22" s="408" t="s">
        <v>1172</v>
      </c>
      <c r="Q22" s="408" t="s">
        <v>1172</v>
      </c>
      <c r="R22" s="454" t="s">
        <v>1142</v>
      </c>
      <c r="S22" s="454"/>
      <c r="T22" s="408" t="s">
        <v>1172</v>
      </c>
      <c r="U22" s="408" t="s">
        <v>1172</v>
      </c>
      <c r="V22" s="405" t="s">
        <v>1174</v>
      </c>
      <c r="W22" s="408" t="s">
        <v>1172</v>
      </c>
      <c r="X22" s="408" t="s">
        <v>1172</v>
      </c>
      <c r="Y22" s="419" t="s">
        <v>1172</v>
      </c>
      <c r="Z22" s="419" t="s">
        <v>1172</v>
      </c>
      <c r="AA22" s="418"/>
    </row>
    <row r="23" spans="2:27" s="409" customFormat="1" ht="114.75" x14ac:dyDescent="0.3">
      <c r="B23" s="411" t="s">
        <v>1156</v>
      </c>
      <c r="C23" s="411" t="s">
        <v>1178</v>
      </c>
      <c r="D23" s="410" t="s">
        <v>1154</v>
      </c>
      <c r="E23" s="411" t="s">
        <v>1158</v>
      </c>
      <c r="F23" s="411" t="s">
        <v>1157</v>
      </c>
      <c r="G23" s="410" t="s">
        <v>1160</v>
      </c>
      <c r="H23" s="410" t="s">
        <v>1159</v>
      </c>
      <c r="I23" s="411" t="s">
        <v>1148</v>
      </c>
      <c r="J23" s="411" t="s">
        <v>1147</v>
      </c>
      <c r="K23" s="410" t="s">
        <v>1146</v>
      </c>
      <c r="L23" s="410" t="s">
        <v>1145</v>
      </c>
      <c r="M23" s="455" t="s">
        <v>1165</v>
      </c>
      <c r="N23" s="455"/>
      <c r="O23" s="410" t="s">
        <v>1164</v>
      </c>
      <c r="P23" s="411" t="s">
        <v>1139</v>
      </c>
      <c r="Q23" s="411" t="s">
        <v>1138</v>
      </c>
      <c r="R23" s="457" t="s">
        <v>1143</v>
      </c>
      <c r="S23" s="457"/>
      <c r="T23" s="411" t="s">
        <v>1141</v>
      </c>
      <c r="U23" s="411" t="s">
        <v>1140</v>
      </c>
      <c r="V23" s="410" t="s">
        <v>1137</v>
      </c>
      <c r="W23" s="411" t="s">
        <v>1135</v>
      </c>
      <c r="X23" s="411" t="s">
        <v>1134</v>
      </c>
      <c r="Y23" s="417" t="s">
        <v>1133</v>
      </c>
      <c r="Z23" s="417" t="s">
        <v>1132</v>
      </c>
      <c r="AA23" s="416"/>
    </row>
    <row r="24" spans="2:27" s="409" customFormat="1" ht="9.9499999999999993" customHeight="1" x14ac:dyDescent="0.3">
      <c r="B24" s="411">
        <v>14</v>
      </c>
      <c r="C24" s="411">
        <v>15</v>
      </c>
      <c r="D24" s="410">
        <v>16</v>
      </c>
      <c r="E24" s="411">
        <v>12</v>
      </c>
      <c r="F24" s="411">
        <v>13</v>
      </c>
      <c r="G24" s="410">
        <v>10</v>
      </c>
      <c r="H24" s="410">
        <v>11</v>
      </c>
      <c r="I24" s="411">
        <v>22</v>
      </c>
      <c r="J24" s="411">
        <v>23</v>
      </c>
      <c r="K24" s="410">
        <v>24</v>
      </c>
      <c r="L24" s="410">
        <v>25</v>
      </c>
      <c r="M24" s="455">
        <v>6</v>
      </c>
      <c r="N24" s="455"/>
      <c r="O24" s="410">
        <v>7</v>
      </c>
      <c r="P24" s="411">
        <v>31</v>
      </c>
      <c r="Q24" s="411">
        <v>32</v>
      </c>
      <c r="R24" s="457">
        <v>28</v>
      </c>
      <c r="S24" s="457"/>
      <c r="T24" s="411">
        <v>29</v>
      </c>
      <c r="U24" s="411">
        <v>30</v>
      </c>
      <c r="V24" s="410">
        <v>33</v>
      </c>
      <c r="W24" s="412">
        <v>35</v>
      </c>
      <c r="X24" s="412">
        <v>36</v>
      </c>
      <c r="Y24" s="412">
        <v>37</v>
      </c>
      <c r="Z24" s="412">
        <v>38</v>
      </c>
      <c r="AA24" s="415"/>
    </row>
    <row r="25" spans="2:27" s="406" customFormat="1" x14ac:dyDescent="0.3"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4"/>
      <c r="X25" s="413"/>
      <c r="Y25" s="413"/>
      <c r="Z25" s="413"/>
    </row>
    <row r="26" spans="2:27" s="406" customFormat="1" x14ac:dyDescent="0.3"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4"/>
      <c r="X26" s="413"/>
      <c r="Y26" s="413"/>
      <c r="Z26" s="413"/>
    </row>
    <row r="27" spans="2:27" s="406" customFormat="1" x14ac:dyDescent="0.3"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4"/>
      <c r="X27" s="413"/>
      <c r="Y27" s="413"/>
      <c r="Z27" s="413"/>
    </row>
    <row r="28" spans="2:27" s="409" customFormat="1" ht="9.9499999999999993" customHeight="1" x14ac:dyDescent="0.3">
      <c r="B28" s="455" t="s">
        <v>1177</v>
      </c>
      <c r="C28" s="455"/>
      <c r="D28" s="410">
        <v>17</v>
      </c>
      <c r="E28" s="455">
        <v>18</v>
      </c>
      <c r="F28" s="455"/>
      <c r="G28" s="457">
        <v>19</v>
      </c>
      <c r="H28" s="457"/>
      <c r="I28" s="455">
        <v>20</v>
      </c>
      <c r="J28" s="455"/>
      <c r="K28" s="457">
        <v>21</v>
      </c>
      <c r="L28" s="457"/>
      <c r="M28" s="411">
        <v>4</v>
      </c>
      <c r="N28" s="411">
        <v>5</v>
      </c>
      <c r="O28" s="410">
        <v>26</v>
      </c>
      <c r="P28" s="455">
        <v>27</v>
      </c>
      <c r="Q28" s="455"/>
      <c r="R28" s="410">
        <v>8</v>
      </c>
      <c r="S28" s="410">
        <v>9</v>
      </c>
      <c r="T28" s="455">
        <v>33</v>
      </c>
      <c r="U28" s="455"/>
      <c r="V28" s="410">
        <v>34</v>
      </c>
      <c r="W28" s="456">
        <v>1</v>
      </c>
      <c r="X28" s="456"/>
      <c r="Y28" s="412">
        <v>3</v>
      </c>
      <c r="Z28" s="412">
        <v>2</v>
      </c>
    </row>
    <row r="29" spans="2:27" s="409" customFormat="1" ht="102" x14ac:dyDescent="0.3">
      <c r="B29" s="455" t="s">
        <v>1176</v>
      </c>
      <c r="C29" s="455"/>
      <c r="D29" s="410" t="s">
        <v>1153</v>
      </c>
      <c r="E29" s="455" t="s">
        <v>1152</v>
      </c>
      <c r="F29" s="455"/>
      <c r="G29" s="457" t="s">
        <v>1151</v>
      </c>
      <c r="H29" s="457"/>
      <c r="I29" s="455" t="s">
        <v>1150</v>
      </c>
      <c r="J29" s="455"/>
      <c r="K29" s="457" t="s">
        <v>1149</v>
      </c>
      <c r="L29" s="457"/>
      <c r="M29" s="411" t="s">
        <v>1085</v>
      </c>
      <c r="N29" s="411" t="s">
        <v>1166</v>
      </c>
      <c r="O29" s="410" t="s">
        <v>1144</v>
      </c>
      <c r="P29" s="455" t="s">
        <v>1113</v>
      </c>
      <c r="Q29" s="455"/>
      <c r="R29" s="410" t="s">
        <v>1162</v>
      </c>
      <c r="S29" s="410" t="s">
        <v>1161</v>
      </c>
      <c r="T29" s="455" t="s">
        <v>1137</v>
      </c>
      <c r="U29" s="455"/>
      <c r="V29" s="410" t="s">
        <v>1175</v>
      </c>
      <c r="W29" s="455" t="s">
        <v>1170</v>
      </c>
      <c r="X29" s="455"/>
      <c r="Y29" s="410" t="s">
        <v>1167</v>
      </c>
      <c r="Z29" s="410" t="s">
        <v>1168</v>
      </c>
    </row>
    <row r="30" spans="2:27" s="406" customFormat="1" ht="31.5" x14ac:dyDescent="0.3">
      <c r="B30" s="452" t="s">
        <v>1172</v>
      </c>
      <c r="C30" s="452"/>
      <c r="D30" s="407" t="s">
        <v>1172</v>
      </c>
      <c r="E30" s="452" t="s">
        <v>1172</v>
      </c>
      <c r="F30" s="452"/>
      <c r="G30" s="454" t="s">
        <v>1174</v>
      </c>
      <c r="H30" s="454"/>
      <c r="I30" s="452" t="s">
        <v>1172</v>
      </c>
      <c r="J30" s="452"/>
      <c r="K30" s="454" t="s">
        <v>1174</v>
      </c>
      <c r="L30" s="454"/>
      <c r="M30" s="408" t="s">
        <v>1172</v>
      </c>
      <c r="N30" s="408" t="s">
        <v>1172</v>
      </c>
      <c r="O30" s="407" t="s">
        <v>1172</v>
      </c>
      <c r="P30" s="452" t="s">
        <v>1172</v>
      </c>
      <c r="Q30" s="452"/>
      <c r="R30" s="407" t="s">
        <v>1142</v>
      </c>
      <c r="S30" s="407" t="s">
        <v>1142</v>
      </c>
      <c r="T30" s="452" t="s">
        <v>1174</v>
      </c>
      <c r="U30" s="452"/>
      <c r="V30" s="407" t="s">
        <v>1173</v>
      </c>
      <c r="W30" s="452" t="s">
        <v>1169</v>
      </c>
      <c r="X30" s="452"/>
      <c r="Y30" s="407" t="s">
        <v>1172</v>
      </c>
      <c r="Z30" s="407" t="s">
        <v>1172</v>
      </c>
    </row>
    <row r="31" spans="2:27" s="404" customFormat="1" x14ac:dyDescent="0.3">
      <c r="B31" s="451"/>
      <c r="C31" s="451"/>
      <c r="D31" s="405" t="s">
        <v>1171</v>
      </c>
      <c r="E31" s="451" t="s">
        <v>1171</v>
      </c>
      <c r="F31" s="451"/>
      <c r="G31" s="453" t="s">
        <v>1171</v>
      </c>
      <c r="H31" s="453"/>
      <c r="I31" s="451" t="s">
        <v>1171</v>
      </c>
      <c r="J31" s="451"/>
      <c r="K31" s="453" t="s">
        <v>1171</v>
      </c>
      <c r="L31" s="453"/>
      <c r="M31" s="451" t="s">
        <v>1171</v>
      </c>
      <c r="N31" s="451"/>
      <c r="O31" s="405" t="s">
        <v>1171</v>
      </c>
      <c r="P31" s="451" t="s">
        <v>1171</v>
      </c>
      <c r="Q31" s="451"/>
      <c r="R31" s="405" t="s">
        <v>1171</v>
      </c>
      <c r="S31" s="405"/>
      <c r="T31" s="451" t="s">
        <v>1171</v>
      </c>
      <c r="U31" s="451"/>
      <c r="V31" s="405" t="s">
        <v>1171</v>
      </c>
      <c r="W31" s="451" t="s">
        <v>1171</v>
      </c>
      <c r="X31" s="451"/>
      <c r="Y31" s="405" t="s">
        <v>1171</v>
      </c>
      <c r="Z31" s="405"/>
    </row>
  </sheetData>
  <mergeCells count="49">
    <mergeCell ref="B21:C21"/>
    <mergeCell ref="E21:F21"/>
    <mergeCell ref="G21:H21"/>
    <mergeCell ref="I21:J21"/>
    <mergeCell ref="K21:L21"/>
    <mergeCell ref="M21:N21"/>
    <mergeCell ref="P21:Q21"/>
    <mergeCell ref="R21:S21"/>
    <mergeCell ref="W21:X21"/>
    <mergeCell ref="Y21:Z21"/>
    <mergeCell ref="K28:L28"/>
    <mergeCell ref="M22:N22"/>
    <mergeCell ref="R22:S22"/>
    <mergeCell ref="M23:N23"/>
    <mergeCell ref="R23:S23"/>
    <mergeCell ref="M24:N24"/>
    <mergeCell ref="R24:S24"/>
    <mergeCell ref="P30:Q30"/>
    <mergeCell ref="P28:Q28"/>
    <mergeCell ref="T28:U28"/>
    <mergeCell ref="W28:X28"/>
    <mergeCell ref="B29:C29"/>
    <mergeCell ref="E29:F29"/>
    <mergeCell ref="G29:H29"/>
    <mergeCell ref="I29:J29"/>
    <mergeCell ref="K29:L29"/>
    <mergeCell ref="P29:Q29"/>
    <mergeCell ref="T29:U29"/>
    <mergeCell ref="W29:X29"/>
    <mergeCell ref="B28:C28"/>
    <mergeCell ref="E28:F28"/>
    <mergeCell ref="G28:H28"/>
    <mergeCell ref="I28:J28"/>
    <mergeCell ref="W31:X31"/>
    <mergeCell ref="T30:U30"/>
    <mergeCell ref="W30:X30"/>
    <mergeCell ref="B31:C31"/>
    <mergeCell ref="E31:F31"/>
    <mergeCell ref="G31:H31"/>
    <mergeCell ref="I31:J31"/>
    <mergeCell ref="K31:L31"/>
    <mergeCell ref="M31:N31"/>
    <mergeCell ref="P31:Q31"/>
    <mergeCell ref="T31:U31"/>
    <mergeCell ref="B30:C30"/>
    <mergeCell ref="E30:F30"/>
    <mergeCell ref="G30:H30"/>
    <mergeCell ref="I30:J30"/>
    <mergeCell ref="K30:L30"/>
  </mergeCells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>
      <selection activeCell="E76" sqref="E76"/>
    </sheetView>
  </sheetViews>
  <sheetFormatPr defaultColWidth="9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3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3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3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3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3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3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3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3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3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3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3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3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3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3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3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3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3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3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3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3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3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3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3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3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3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3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3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3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3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3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3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3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3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3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3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3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3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3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3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3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3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3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3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3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3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3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3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3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3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3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3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3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3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4" workbookViewId="0">
      <selection activeCell="F62" sqref="F6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F25" sqref="F25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3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EC6F8-C9CD-4A8A-9F95-D7498EC0FE59}">
  <sheetPr codeName="Sheet25"/>
  <dimension ref="B1:XEU37"/>
  <sheetViews>
    <sheetView zoomScale="85" zoomScaleNormal="85" workbookViewId="0">
      <selection activeCell="B10" sqref="B10:G10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48" t="s">
        <v>965</v>
      </c>
      <c r="C2" s="448"/>
      <c r="D2" s="448"/>
      <c r="E2" s="448"/>
      <c r="F2" s="448"/>
      <c r="G2" s="44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 x14ac:dyDescent="0.3">
      <c r="B5" s="438">
        <v>1</v>
      </c>
      <c r="C5" s="425" t="s">
        <v>1170</v>
      </c>
      <c r="D5" s="428" t="s">
        <v>1169</v>
      </c>
      <c r="E5" s="438">
        <v>0</v>
      </c>
      <c r="F5" s="393">
        <v>0.56999999999999995</v>
      </c>
      <c r="G5" s="440">
        <v>1</v>
      </c>
    </row>
    <row r="6" spans="2:7" ht="51" x14ac:dyDescent="0.3">
      <c r="B6" s="438">
        <v>2</v>
      </c>
      <c r="C6" s="425" t="s">
        <v>1200</v>
      </c>
      <c r="D6" s="428" t="s">
        <v>1086</v>
      </c>
      <c r="E6" s="438">
        <v>1</v>
      </c>
      <c r="F6" s="393">
        <v>0.61</v>
      </c>
      <c r="G6" s="440">
        <v>1</v>
      </c>
    </row>
    <row r="7" spans="2:7" ht="16.5" x14ac:dyDescent="0.3">
      <c r="B7" s="438">
        <v>3</v>
      </c>
      <c r="C7" s="425" t="s">
        <v>1085</v>
      </c>
      <c r="D7" s="428" t="s">
        <v>1086</v>
      </c>
      <c r="E7" s="438">
        <v>2</v>
      </c>
      <c r="F7" s="393">
        <v>0.48</v>
      </c>
      <c r="G7" s="440">
        <v>1</v>
      </c>
    </row>
    <row r="8" spans="2:7" ht="51" x14ac:dyDescent="0.3">
      <c r="B8" s="438">
        <v>4</v>
      </c>
      <c r="C8" s="425" t="s">
        <v>1165</v>
      </c>
      <c r="D8" s="428" t="s">
        <v>1120</v>
      </c>
      <c r="E8" s="438">
        <v>3</v>
      </c>
      <c r="F8" s="393">
        <v>0.38</v>
      </c>
      <c r="G8" s="440">
        <v>1</v>
      </c>
    </row>
    <row r="9" spans="2:7" ht="16.5" x14ac:dyDescent="0.3">
      <c r="B9" s="438">
        <v>5</v>
      </c>
      <c r="C9" s="425" t="s">
        <v>1164</v>
      </c>
      <c r="D9" s="428" t="s">
        <v>1163</v>
      </c>
      <c r="E9" s="438">
        <v>4</v>
      </c>
      <c r="F9" s="393">
        <v>0.59</v>
      </c>
      <c r="G9" s="440">
        <v>1</v>
      </c>
    </row>
    <row r="10" spans="2:7" ht="16.5" x14ac:dyDescent="0.3">
      <c r="B10" s="438">
        <v>6</v>
      </c>
      <c r="C10" s="425" t="s">
        <v>1139</v>
      </c>
      <c r="D10" s="428" t="s">
        <v>1086</v>
      </c>
      <c r="E10" s="438">
        <v>5</v>
      </c>
      <c r="F10" s="393">
        <v>1.02</v>
      </c>
      <c r="G10" s="440">
        <v>1</v>
      </c>
    </row>
    <row r="11" spans="2:7" ht="16.5" x14ac:dyDescent="0.3">
      <c r="B11" s="438">
        <v>7</v>
      </c>
      <c r="C11" s="444" t="s">
        <v>1138</v>
      </c>
      <c r="D11" s="428" t="s">
        <v>1086</v>
      </c>
      <c r="E11" s="438">
        <v>6</v>
      </c>
      <c r="F11" s="393">
        <v>0.18</v>
      </c>
      <c r="G11" s="440">
        <v>1</v>
      </c>
    </row>
    <row r="12" spans="2:7" ht="16.5" x14ac:dyDescent="0.3">
      <c r="B12" s="438">
        <v>8</v>
      </c>
      <c r="C12" s="444" t="s">
        <v>1132</v>
      </c>
      <c r="D12" s="428" t="s">
        <v>1086</v>
      </c>
      <c r="E12" s="438">
        <v>0</v>
      </c>
      <c r="F12" s="441">
        <v>0.28000000000000003</v>
      </c>
      <c r="G12" s="440">
        <v>1</v>
      </c>
    </row>
    <row r="13" spans="2:7" ht="25.5" x14ac:dyDescent="0.3">
      <c r="B13" s="438">
        <v>9</v>
      </c>
      <c r="C13" s="425" t="s">
        <v>1210</v>
      </c>
      <c r="D13" s="428" t="s">
        <v>1086</v>
      </c>
      <c r="E13" s="438">
        <v>8</v>
      </c>
      <c r="F13" s="441">
        <v>0.39</v>
      </c>
      <c r="G13" s="440">
        <v>1</v>
      </c>
    </row>
    <row r="14" spans="2:7" ht="38.25" x14ac:dyDescent="0.3">
      <c r="B14" s="438">
        <v>10</v>
      </c>
      <c r="C14" s="425" t="s">
        <v>1159</v>
      </c>
      <c r="D14" s="428" t="s">
        <v>1086</v>
      </c>
      <c r="E14" s="438">
        <v>9</v>
      </c>
      <c r="F14" s="393">
        <v>0.39</v>
      </c>
      <c r="G14" s="440">
        <v>1</v>
      </c>
    </row>
    <row r="15" spans="2:7" ht="38.25" x14ac:dyDescent="0.3">
      <c r="B15" s="438">
        <v>11</v>
      </c>
      <c r="C15" s="425" t="s">
        <v>1207</v>
      </c>
      <c r="D15" s="428" t="s">
        <v>1086</v>
      </c>
      <c r="E15" s="438">
        <v>10</v>
      </c>
      <c r="F15" s="393">
        <v>1.19</v>
      </c>
      <c r="G15" s="440">
        <v>1</v>
      </c>
    </row>
    <row r="16" spans="2:7" ht="38.25" x14ac:dyDescent="0.3">
      <c r="B16" s="438">
        <v>12</v>
      </c>
      <c r="C16" s="425" t="s">
        <v>1208</v>
      </c>
      <c r="D16" s="428" t="s">
        <v>1086</v>
      </c>
      <c r="E16" s="439">
        <v>11</v>
      </c>
      <c r="F16" s="393">
        <v>1.27</v>
      </c>
      <c r="G16" s="439">
        <v>1</v>
      </c>
    </row>
    <row r="17" spans="2:7" ht="25.5" x14ac:dyDescent="0.3">
      <c r="B17" s="438">
        <v>13</v>
      </c>
      <c r="C17" s="425" t="s">
        <v>1202</v>
      </c>
      <c r="D17" s="428" t="s">
        <v>1086</v>
      </c>
      <c r="E17" s="438">
        <v>0</v>
      </c>
      <c r="F17" s="393">
        <v>0.54</v>
      </c>
      <c r="G17" s="440">
        <v>1</v>
      </c>
    </row>
    <row r="18" spans="2:7" ht="16.5" x14ac:dyDescent="0.3">
      <c r="B18" s="427">
        <v>14</v>
      </c>
      <c r="C18" s="425" t="s">
        <v>1158</v>
      </c>
      <c r="D18" s="428" t="s">
        <v>1120</v>
      </c>
      <c r="E18" s="438">
        <v>13</v>
      </c>
      <c r="F18" s="393">
        <v>0.09</v>
      </c>
      <c r="G18" s="440">
        <v>1</v>
      </c>
    </row>
    <row r="19" spans="2:7" ht="16.5" x14ac:dyDescent="0.3">
      <c r="B19" s="438">
        <v>15</v>
      </c>
      <c r="C19" s="425" t="s">
        <v>1154</v>
      </c>
      <c r="D19" s="428" t="s">
        <v>1122</v>
      </c>
      <c r="E19" s="438">
        <v>13</v>
      </c>
      <c r="F19" s="393">
        <v>0.13</v>
      </c>
      <c r="G19" s="440">
        <v>1</v>
      </c>
    </row>
    <row r="20" spans="2:7" ht="16.5" x14ac:dyDescent="0.3">
      <c r="B20" s="438">
        <v>16</v>
      </c>
      <c r="C20" s="425" t="s">
        <v>1153</v>
      </c>
      <c r="D20" s="428" t="s">
        <v>1086</v>
      </c>
      <c r="E20" s="438">
        <v>15</v>
      </c>
      <c r="F20" s="393">
        <v>0.09</v>
      </c>
      <c r="G20" s="440">
        <v>1</v>
      </c>
    </row>
    <row r="21" spans="2:7" ht="16.5" x14ac:dyDescent="0.3">
      <c r="B21" s="438">
        <v>17</v>
      </c>
      <c r="C21" s="425" t="s">
        <v>1160</v>
      </c>
      <c r="D21" s="428" t="s">
        <v>1086</v>
      </c>
      <c r="E21" s="438">
        <v>0</v>
      </c>
      <c r="F21" s="393">
        <v>0.3</v>
      </c>
      <c r="G21" s="440">
        <v>1</v>
      </c>
    </row>
    <row r="22" spans="2:7" ht="25.5" x14ac:dyDescent="0.3">
      <c r="B22" s="438">
        <v>18</v>
      </c>
      <c r="C22" s="425" t="s">
        <v>1157</v>
      </c>
      <c r="D22" s="428" t="s">
        <v>1120</v>
      </c>
      <c r="E22" s="438">
        <v>17</v>
      </c>
      <c r="F22" s="393">
        <v>0.24</v>
      </c>
      <c r="G22" s="440">
        <v>1</v>
      </c>
    </row>
    <row r="23" spans="2:7" ht="16.5" x14ac:dyDescent="0.3">
      <c r="B23" s="438">
        <v>19</v>
      </c>
      <c r="C23" s="425" t="s">
        <v>1152</v>
      </c>
      <c r="D23" s="428" t="s">
        <v>1086</v>
      </c>
      <c r="E23" s="438" t="s">
        <v>1228</v>
      </c>
      <c r="F23" s="393">
        <v>0.67</v>
      </c>
      <c r="G23" s="440">
        <v>1</v>
      </c>
    </row>
    <row r="24" spans="2:7" ht="25.5" x14ac:dyDescent="0.3">
      <c r="B24" s="438">
        <v>20</v>
      </c>
      <c r="C24" s="425" t="s">
        <v>1151</v>
      </c>
      <c r="D24" s="428" t="s">
        <v>1120</v>
      </c>
      <c r="E24" s="438">
        <v>19</v>
      </c>
      <c r="F24" s="393">
        <v>0.59</v>
      </c>
      <c r="G24" s="440">
        <v>1</v>
      </c>
    </row>
    <row r="25" spans="2:7" ht="16.5" x14ac:dyDescent="0.3">
      <c r="B25" s="438">
        <v>21</v>
      </c>
      <c r="C25" s="425" t="s">
        <v>1150</v>
      </c>
      <c r="D25" s="428" t="s">
        <v>1086</v>
      </c>
      <c r="E25" s="438">
        <v>20</v>
      </c>
      <c r="F25" s="393">
        <v>0.78</v>
      </c>
      <c r="G25" s="440">
        <v>1</v>
      </c>
    </row>
    <row r="26" spans="2:7" ht="16.5" x14ac:dyDescent="0.3">
      <c r="B26" s="438">
        <v>22</v>
      </c>
      <c r="C26" s="425" t="s">
        <v>1149</v>
      </c>
      <c r="D26" s="428" t="s">
        <v>1120</v>
      </c>
      <c r="E26" s="438">
        <v>21</v>
      </c>
      <c r="F26" s="393">
        <v>0.36</v>
      </c>
      <c r="G26" s="440">
        <v>1</v>
      </c>
    </row>
    <row r="27" spans="2:7" ht="38.25" x14ac:dyDescent="0.3">
      <c r="B27" s="438">
        <v>23</v>
      </c>
      <c r="C27" s="425" t="s">
        <v>1144</v>
      </c>
      <c r="D27" s="428" t="s">
        <v>1086</v>
      </c>
      <c r="E27" s="438" t="s">
        <v>1227</v>
      </c>
      <c r="F27" s="393">
        <v>0.95</v>
      </c>
      <c r="G27" s="440">
        <v>1</v>
      </c>
    </row>
    <row r="28" spans="2:7" ht="16.5" x14ac:dyDescent="0.3">
      <c r="B28" s="438">
        <v>24</v>
      </c>
      <c r="C28" s="425" t="s">
        <v>1166</v>
      </c>
      <c r="D28" s="428" t="s">
        <v>1086</v>
      </c>
      <c r="E28" s="438">
        <v>23</v>
      </c>
      <c r="F28" s="393">
        <v>1.38</v>
      </c>
      <c r="G28" s="440">
        <v>2</v>
      </c>
    </row>
    <row r="29" spans="2:7" ht="16.5" x14ac:dyDescent="0.3">
      <c r="B29" s="438">
        <v>25</v>
      </c>
      <c r="C29" s="425" t="s">
        <v>1113</v>
      </c>
      <c r="D29" s="428" t="s">
        <v>1086</v>
      </c>
      <c r="E29" s="438" t="s">
        <v>1226</v>
      </c>
      <c r="F29" s="393">
        <v>0.95</v>
      </c>
      <c r="G29" s="440">
        <v>1</v>
      </c>
    </row>
    <row r="30" spans="2:7" ht="16.5" x14ac:dyDescent="0.3">
      <c r="B30" s="438">
        <v>26</v>
      </c>
      <c r="C30" s="425" t="s">
        <v>1162</v>
      </c>
      <c r="D30" s="428" t="s">
        <v>1142</v>
      </c>
      <c r="E30" s="438">
        <v>25</v>
      </c>
      <c r="F30" s="393">
        <v>0.3</v>
      </c>
      <c r="G30" s="440">
        <v>1</v>
      </c>
    </row>
    <row r="31" spans="2:7" ht="16.5" x14ac:dyDescent="0.3">
      <c r="B31" s="438">
        <v>27</v>
      </c>
      <c r="C31" s="425" t="s">
        <v>1143</v>
      </c>
      <c r="D31" s="428" t="s">
        <v>1142</v>
      </c>
      <c r="E31" s="438" t="s">
        <v>1225</v>
      </c>
      <c r="F31" s="393">
        <v>1.3</v>
      </c>
      <c r="G31" s="440">
        <v>2</v>
      </c>
    </row>
    <row r="32" spans="2:7" ht="25.5" x14ac:dyDescent="0.3">
      <c r="B32" s="438">
        <v>28</v>
      </c>
      <c r="C32" s="425" t="s">
        <v>1140</v>
      </c>
      <c r="D32" s="428" t="s">
        <v>1086</v>
      </c>
      <c r="E32" s="438">
        <v>27</v>
      </c>
      <c r="F32" s="393">
        <v>1.43</v>
      </c>
      <c r="G32" s="440">
        <v>2</v>
      </c>
    </row>
    <row r="33" spans="2:7" ht="16.5" x14ac:dyDescent="0.3">
      <c r="B33" s="438">
        <v>29</v>
      </c>
      <c r="C33" s="444" t="s">
        <v>1133</v>
      </c>
      <c r="D33" s="428" t="s">
        <v>1086</v>
      </c>
      <c r="E33" s="438">
        <v>0</v>
      </c>
      <c r="F33" s="441">
        <v>0.82</v>
      </c>
      <c r="G33" s="440">
        <v>1</v>
      </c>
    </row>
    <row r="34" spans="2:7" ht="16.5" x14ac:dyDescent="0.3">
      <c r="B34" s="438">
        <v>30</v>
      </c>
      <c r="C34" s="425" t="s">
        <v>1141</v>
      </c>
      <c r="D34" s="428" t="s">
        <v>1086</v>
      </c>
      <c r="E34" s="438" t="s">
        <v>1224</v>
      </c>
      <c r="F34" s="393">
        <v>0.18</v>
      </c>
      <c r="G34" s="440">
        <v>1</v>
      </c>
    </row>
    <row r="35" spans="2:7" ht="16.5" x14ac:dyDescent="0.3">
      <c r="B35" s="438">
        <v>31</v>
      </c>
      <c r="C35" s="425" t="s">
        <v>1161</v>
      </c>
      <c r="D35" s="428" t="s">
        <v>1142</v>
      </c>
      <c r="E35" s="438">
        <v>30</v>
      </c>
      <c r="F35" s="393">
        <v>0.93</v>
      </c>
      <c r="G35" s="440">
        <v>1</v>
      </c>
    </row>
    <row r="36" spans="2:7" ht="25.5" x14ac:dyDescent="0.3">
      <c r="B36" s="438">
        <v>32</v>
      </c>
      <c r="C36" s="425" t="s">
        <v>1137</v>
      </c>
      <c r="D36" s="428" t="s">
        <v>1120</v>
      </c>
      <c r="E36" s="438">
        <v>31</v>
      </c>
      <c r="F36" s="441">
        <v>1.28</v>
      </c>
      <c r="G36" s="440">
        <v>1</v>
      </c>
    </row>
    <row r="37" spans="2:7" ht="38.25" x14ac:dyDescent="0.3">
      <c r="B37" s="438">
        <v>33</v>
      </c>
      <c r="C37" s="443" t="s">
        <v>1136</v>
      </c>
      <c r="D37" s="442" t="s">
        <v>1196</v>
      </c>
      <c r="E37" s="438">
        <v>32</v>
      </c>
      <c r="F37" s="441">
        <v>0.84</v>
      </c>
      <c r="G37" s="440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48BA7-0248-4916-B39E-AA4A7EF44BB2}">
  <dimension ref="B1:XEU32"/>
  <sheetViews>
    <sheetView tabSelected="1" topLeftCell="B1" zoomScale="85" zoomScaleNormal="85" workbookViewId="0">
      <selection activeCell="XFC10" sqref="XFC10"/>
    </sheetView>
  </sheetViews>
  <sheetFormatPr defaultColWidth="0" defaultRowHeight="15.75" x14ac:dyDescent="0.3"/>
  <cols>
    <col min="1" max="1" width="2.7109375" style="376" customWidth="1"/>
    <col min="2" max="2" width="21.140625" style="376" bestFit="1" customWidth="1"/>
    <col min="3" max="3" width="36.140625" style="376" bestFit="1" customWidth="1"/>
    <col min="4" max="4" width="28.42578125" style="376" bestFit="1" customWidth="1"/>
    <col min="5" max="7" width="21.140625" style="376" bestFit="1" customWidth="1"/>
    <col min="8" max="8" width="11.5703125" style="376" customWidth="1"/>
    <col min="9" max="9" width="0" style="376" hidden="1" customWidth="1"/>
    <col min="10" max="16375" width="9" style="376" hidden="1"/>
    <col min="16376" max="16376" width="11.140625" style="376" customWidth="1"/>
    <col min="16377" max="16377" width="4.85546875" style="376" customWidth="1"/>
    <col min="16378" max="16378" width="6.42578125" style="376" customWidth="1"/>
    <col min="16379" max="16379" width="7.42578125" style="376" customWidth="1"/>
    <col min="16380" max="16380" width="8.28515625" style="376" customWidth="1"/>
    <col min="16381" max="16381" width="5.42578125" style="376" customWidth="1"/>
    <col min="16382" max="16382" width="3.140625" style="376" customWidth="1"/>
    <col min="16383" max="16384" width="32.140625" style="376" customWidth="1"/>
  </cols>
  <sheetData>
    <row r="1" spans="2:7" x14ac:dyDescent="0.3">
      <c r="B1" s="462"/>
      <c r="C1" s="462"/>
      <c r="D1" s="462"/>
    </row>
    <row r="2" spans="2:7" x14ac:dyDescent="0.3">
      <c r="B2" s="447" t="s">
        <v>965</v>
      </c>
      <c r="C2" s="447"/>
      <c r="D2" s="447"/>
      <c r="E2" s="447"/>
      <c r="F2" s="447"/>
      <c r="G2" s="447"/>
    </row>
    <row r="4" spans="2:7" x14ac:dyDescent="0.3">
      <c r="B4" s="461" t="s">
        <v>93</v>
      </c>
      <c r="C4" s="461" t="s">
        <v>94</v>
      </c>
      <c r="D4" s="461" t="s">
        <v>3</v>
      </c>
      <c r="E4" s="461" t="s">
        <v>1</v>
      </c>
      <c r="F4" s="461" t="s">
        <v>95</v>
      </c>
      <c r="G4" s="461" t="s">
        <v>2</v>
      </c>
    </row>
    <row r="5" spans="2:7" ht="16.5" x14ac:dyDescent="0.3">
      <c r="B5" s="445">
        <v>1</v>
      </c>
      <c r="C5" s="425" t="s">
        <v>1085</v>
      </c>
      <c r="D5" s="428" t="s">
        <v>1086</v>
      </c>
      <c r="E5" s="445">
        <v>0</v>
      </c>
      <c r="F5" s="460">
        <v>0.48</v>
      </c>
      <c r="G5" s="440">
        <v>1</v>
      </c>
    </row>
    <row r="6" spans="2:7" ht="51" x14ac:dyDescent="0.3">
      <c r="B6" s="445">
        <v>2</v>
      </c>
      <c r="C6" s="425" t="s">
        <v>1165</v>
      </c>
      <c r="D6" s="428" t="s">
        <v>1120</v>
      </c>
      <c r="E6" s="445">
        <v>1</v>
      </c>
      <c r="F6" s="460">
        <v>0.38</v>
      </c>
      <c r="G6" s="440">
        <v>1</v>
      </c>
    </row>
    <row r="7" spans="2:7" ht="16.5" x14ac:dyDescent="0.3">
      <c r="B7" s="445">
        <v>3</v>
      </c>
      <c r="C7" s="425" t="s">
        <v>1164</v>
      </c>
      <c r="D7" s="428" t="s">
        <v>1163</v>
      </c>
      <c r="E7" s="445">
        <v>2</v>
      </c>
      <c r="F7" s="460">
        <v>0.59</v>
      </c>
      <c r="G7" s="440">
        <v>1</v>
      </c>
    </row>
    <row r="8" spans="2:7" ht="16.5" x14ac:dyDescent="0.3">
      <c r="B8" s="445">
        <v>4</v>
      </c>
      <c r="C8" s="425" t="s">
        <v>1139</v>
      </c>
      <c r="D8" s="428" t="s">
        <v>1086</v>
      </c>
      <c r="E8" s="445">
        <v>3</v>
      </c>
      <c r="F8" s="460">
        <v>1.02</v>
      </c>
      <c r="G8" s="440">
        <v>1</v>
      </c>
    </row>
    <row r="9" spans="2:7" ht="16.5" x14ac:dyDescent="0.3">
      <c r="B9" s="445">
        <v>5</v>
      </c>
      <c r="C9" s="444" t="s">
        <v>1138</v>
      </c>
      <c r="D9" s="428" t="s">
        <v>1086</v>
      </c>
      <c r="E9" s="445">
        <v>4</v>
      </c>
      <c r="F9" s="460">
        <v>0.18</v>
      </c>
      <c r="G9" s="440">
        <v>1</v>
      </c>
    </row>
    <row r="10" spans="2:7" ht="38.25" x14ac:dyDescent="0.3">
      <c r="B10" s="445">
        <v>6</v>
      </c>
      <c r="C10" s="425" t="s">
        <v>1159</v>
      </c>
      <c r="D10" s="428" t="s">
        <v>1086</v>
      </c>
      <c r="E10" s="445">
        <v>0</v>
      </c>
      <c r="F10" s="460">
        <v>0.39</v>
      </c>
      <c r="G10" s="440">
        <v>1</v>
      </c>
    </row>
    <row r="11" spans="2:7" ht="38.25" x14ac:dyDescent="0.3">
      <c r="B11" s="445">
        <v>7</v>
      </c>
      <c r="C11" s="425" t="s">
        <v>1207</v>
      </c>
      <c r="D11" s="428" t="s">
        <v>1086</v>
      </c>
      <c r="E11" s="445">
        <v>6</v>
      </c>
      <c r="F11" s="460">
        <v>1.19</v>
      </c>
      <c r="G11" s="440">
        <v>1</v>
      </c>
    </row>
    <row r="12" spans="2:7" ht="38.25" x14ac:dyDescent="0.3">
      <c r="B12" s="445">
        <v>8</v>
      </c>
      <c r="C12" s="425" t="s">
        <v>1208</v>
      </c>
      <c r="D12" s="428" t="s">
        <v>1086</v>
      </c>
      <c r="E12" s="446">
        <v>7</v>
      </c>
      <c r="F12" s="460">
        <v>1.27</v>
      </c>
      <c r="G12" s="446">
        <v>1</v>
      </c>
    </row>
    <row r="13" spans="2:7" ht="25.5" x14ac:dyDescent="0.3">
      <c r="B13" s="445">
        <v>9</v>
      </c>
      <c r="C13" s="425" t="s">
        <v>1202</v>
      </c>
      <c r="D13" s="428" t="s">
        <v>1086</v>
      </c>
      <c r="E13" s="445">
        <v>0</v>
      </c>
      <c r="F13" s="460">
        <v>0.54</v>
      </c>
      <c r="G13" s="440">
        <v>1</v>
      </c>
    </row>
    <row r="14" spans="2:7" ht="16.5" x14ac:dyDescent="0.3">
      <c r="B14" s="427">
        <v>10</v>
      </c>
      <c r="C14" s="425" t="s">
        <v>1158</v>
      </c>
      <c r="D14" s="428" t="s">
        <v>1120</v>
      </c>
      <c r="E14" s="445">
        <v>9</v>
      </c>
      <c r="F14" s="460">
        <v>0.09</v>
      </c>
      <c r="G14" s="440">
        <v>1</v>
      </c>
    </row>
    <row r="15" spans="2:7" ht="16.5" x14ac:dyDescent="0.3">
      <c r="B15" s="445">
        <v>11</v>
      </c>
      <c r="C15" s="425" t="s">
        <v>1154</v>
      </c>
      <c r="D15" s="428" t="s">
        <v>1122</v>
      </c>
      <c r="E15" s="445">
        <v>9</v>
      </c>
      <c r="F15" s="460">
        <v>0.13</v>
      </c>
      <c r="G15" s="440">
        <v>1</v>
      </c>
    </row>
    <row r="16" spans="2:7" ht="16.5" x14ac:dyDescent="0.3">
      <c r="B16" s="445">
        <v>12</v>
      </c>
      <c r="C16" s="425" t="s">
        <v>1153</v>
      </c>
      <c r="D16" s="428" t="s">
        <v>1086</v>
      </c>
      <c r="E16" s="445">
        <v>11</v>
      </c>
      <c r="F16" s="460">
        <v>0.09</v>
      </c>
      <c r="G16" s="440">
        <v>1</v>
      </c>
    </row>
    <row r="17" spans="2:7" ht="16.5" x14ac:dyDescent="0.3">
      <c r="B17" s="445">
        <v>13</v>
      </c>
      <c r="C17" s="425" t="s">
        <v>1160</v>
      </c>
      <c r="D17" s="428" t="s">
        <v>1086</v>
      </c>
      <c r="E17" s="445">
        <v>0</v>
      </c>
      <c r="F17" s="460">
        <v>0.3</v>
      </c>
      <c r="G17" s="440">
        <v>1</v>
      </c>
    </row>
    <row r="18" spans="2:7" ht="25.5" x14ac:dyDescent="0.3">
      <c r="B18" s="445">
        <v>14</v>
      </c>
      <c r="C18" s="425" t="s">
        <v>1157</v>
      </c>
      <c r="D18" s="428" t="s">
        <v>1120</v>
      </c>
      <c r="E18" s="445">
        <v>13</v>
      </c>
      <c r="F18" s="460">
        <v>0.24</v>
      </c>
      <c r="G18" s="440">
        <v>1</v>
      </c>
    </row>
    <row r="19" spans="2:7" ht="16.5" x14ac:dyDescent="0.3">
      <c r="B19" s="445">
        <v>15</v>
      </c>
      <c r="C19" s="425" t="s">
        <v>1152</v>
      </c>
      <c r="D19" s="428" t="s">
        <v>1086</v>
      </c>
      <c r="E19" s="445" t="s">
        <v>1232</v>
      </c>
      <c r="F19" s="460">
        <v>0.67</v>
      </c>
      <c r="G19" s="440">
        <v>1</v>
      </c>
    </row>
    <row r="20" spans="2:7" ht="25.5" x14ac:dyDescent="0.3">
      <c r="B20" s="445">
        <v>16</v>
      </c>
      <c r="C20" s="425" t="s">
        <v>1151</v>
      </c>
      <c r="D20" s="428" t="s">
        <v>1120</v>
      </c>
      <c r="E20" s="445">
        <v>15</v>
      </c>
      <c r="F20" s="460">
        <v>0.59</v>
      </c>
      <c r="G20" s="440">
        <v>1</v>
      </c>
    </row>
    <row r="21" spans="2:7" ht="16.5" x14ac:dyDescent="0.3">
      <c r="B21" s="445">
        <v>17</v>
      </c>
      <c r="C21" s="425" t="s">
        <v>1150</v>
      </c>
      <c r="D21" s="428" t="s">
        <v>1086</v>
      </c>
      <c r="E21" s="445">
        <v>16</v>
      </c>
      <c r="F21" s="460">
        <v>0.78</v>
      </c>
      <c r="G21" s="440">
        <v>1</v>
      </c>
    </row>
    <row r="22" spans="2:7" ht="16.5" x14ac:dyDescent="0.3">
      <c r="B22" s="445">
        <v>18</v>
      </c>
      <c r="C22" s="425" t="s">
        <v>1149</v>
      </c>
      <c r="D22" s="428" t="s">
        <v>1120</v>
      </c>
      <c r="E22" s="445">
        <v>17</v>
      </c>
      <c r="F22" s="460">
        <v>0.36</v>
      </c>
      <c r="G22" s="440">
        <v>1</v>
      </c>
    </row>
    <row r="23" spans="2:7" ht="38.25" x14ac:dyDescent="0.3">
      <c r="B23" s="445">
        <v>19</v>
      </c>
      <c r="C23" s="425" t="s">
        <v>1144</v>
      </c>
      <c r="D23" s="428" t="s">
        <v>1086</v>
      </c>
      <c r="E23" s="445" t="s">
        <v>1231</v>
      </c>
      <c r="F23" s="460">
        <v>0.95</v>
      </c>
      <c r="G23" s="440">
        <v>1</v>
      </c>
    </row>
    <row r="24" spans="2:7" ht="16.5" x14ac:dyDescent="0.3">
      <c r="B24" s="445">
        <v>20</v>
      </c>
      <c r="C24" s="425" t="s">
        <v>1166</v>
      </c>
      <c r="D24" s="428" t="s">
        <v>1086</v>
      </c>
      <c r="E24" s="445">
        <v>19</v>
      </c>
      <c r="F24" s="460">
        <v>1.38</v>
      </c>
      <c r="G24" s="440">
        <v>2</v>
      </c>
    </row>
    <row r="25" spans="2:7" ht="16.5" x14ac:dyDescent="0.3">
      <c r="B25" s="445">
        <v>21</v>
      </c>
      <c r="C25" s="425" t="s">
        <v>1113</v>
      </c>
      <c r="D25" s="428" t="s">
        <v>1086</v>
      </c>
      <c r="E25" s="445" t="s">
        <v>1230</v>
      </c>
      <c r="F25" s="460">
        <v>0.95</v>
      </c>
      <c r="G25" s="440">
        <v>1</v>
      </c>
    </row>
    <row r="26" spans="2:7" ht="16.5" x14ac:dyDescent="0.3">
      <c r="B26" s="445">
        <v>22</v>
      </c>
      <c r="C26" s="425" t="s">
        <v>1162</v>
      </c>
      <c r="D26" s="428" t="s">
        <v>1142</v>
      </c>
      <c r="E26" s="445">
        <v>21</v>
      </c>
      <c r="F26" s="460">
        <v>0.3</v>
      </c>
      <c r="G26" s="440">
        <v>1</v>
      </c>
    </row>
    <row r="27" spans="2:7" ht="16.5" x14ac:dyDescent="0.3">
      <c r="B27" s="445">
        <v>23</v>
      </c>
      <c r="C27" s="425" t="s">
        <v>1143</v>
      </c>
      <c r="D27" s="428" t="s">
        <v>1142</v>
      </c>
      <c r="E27" s="445" t="s">
        <v>1229</v>
      </c>
      <c r="F27" s="460">
        <v>1.3</v>
      </c>
      <c r="G27" s="440">
        <v>1</v>
      </c>
    </row>
    <row r="28" spans="2:7" ht="25.5" x14ac:dyDescent="0.3">
      <c r="B28" s="445">
        <v>24</v>
      </c>
      <c r="C28" s="425" t="s">
        <v>1140</v>
      </c>
      <c r="D28" s="428" t="s">
        <v>1086</v>
      </c>
      <c r="E28" s="445">
        <v>23</v>
      </c>
      <c r="F28" s="460">
        <v>1.43</v>
      </c>
      <c r="G28" s="440">
        <v>2</v>
      </c>
    </row>
    <row r="29" spans="2:7" ht="16.5" x14ac:dyDescent="0.3">
      <c r="B29" s="445">
        <v>25</v>
      </c>
      <c r="C29" s="425" t="s">
        <v>1141</v>
      </c>
      <c r="D29" s="428" t="s">
        <v>1086</v>
      </c>
      <c r="E29" s="445">
        <v>24</v>
      </c>
      <c r="F29" s="460">
        <v>0.18</v>
      </c>
      <c r="G29" s="440">
        <v>1</v>
      </c>
    </row>
    <row r="30" spans="2:7" ht="16.5" x14ac:dyDescent="0.3">
      <c r="B30" s="445">
        <v>26</v>
      </c>
      <c r="C30" s="425" t="s">
        <v>1161</v>
      </c>
      <c r="D30" s="428" t="s">
        <v>1142</v>
      </c>
      <c r="E30" s="445">
        <v>25</v>
      </c>
      <c r="F30" s="460">
        <v>0.93</v>
      </c>
      <c r="G30" s="440">
        <v>1</v>
      </c>
    </row>
    <row r="31" spans="2:7" ht="25.5" x14ac:dyDescent="0.3">
      <c r="B31" s="445">
        <v>27</v>
      </c>
      <c r="C31" s="425" t="s">
        <v>1137</v>
      </c>
      <c r="D31" s="428" t="s">
        <v>1120</v>
      </c>
      <c r="E31" s="445">
        <v>26</v>
      </c>
      <c r="F31" s="459">
        <v>1.28</v>
      </c>
      <c r="G31" s="440">
        <v>1</v>
      </c>
    </row>
    <row r="32" spans="2:7" ht="38.25" x14ac:dyDescent="0.3">
      <c r="B32" s="445">
        <v>28</v>
      </c>
      <c r="C32" s="443" t="s">
        <v>1136</v>
      </c>
      <c r="D32" s="442" t="s">
        <v>1196</v>
      </c>
      <c r="E32" s="445">
        <v>27</v>
      </c>
      <c r="F32" s="459">
        <v>0.84</v>
      </c>
      <c r="G32" s="440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 x14ac:dyDescent="0.3"/>
  <sheetData>
    <row r="1" spans="1:13" x14ac:dyDescent="0.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 x14ac:dyDescent="0.3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 x14ac:dyDescent="0.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 x14ac:dyDescent="0.3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 x14ac:dyDescent="0.3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x14ac:dyDescent="0.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 x14ac:dyDescent="0.3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 x14ac:dyDescent="0.3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 x14ac:dyDescent="0.3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 x14ac:dyDescent="0.3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 x14ac:dyDescent="0.3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 x14ac:dyDescent="0.3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 x14ac:dyDescent="0.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 x14ac:dyDescent="0.3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x14ac:dyDescent="0.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 x14ac:dyDescent="0.3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x14ac:dyDescent="0.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 x14ac:dyDescent="0.3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 x14ac:dyDescent="0.3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 x14ac:dyDescent="0.3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 x14ac:dyDescent="0.3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 x14ac:dyDescent="0.3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 x14ac:dyDescent="0.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x14ac:dyDescent="0.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x14ac:dyDescent="0.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 x14ac:dyDescent="0.3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 x14ac:dyDescent="0.3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 x14ac:dyDescent="0.3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 x14ac:dyDescent="0.3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 x14ac:dyDescent="0.3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 x14ac:dyDescent="0.3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 x14ac:dyDescent="0.3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 x14ac:dyDescent="0.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x14ac:dyDescent="0.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 x14ac:dyDescent="0.3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x14ac:dyDescent="0.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x14ac:dyDescent="0.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 x14ac:dyDescent="0.3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 x14ac:dyDescent="0.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 x14ac:dyDescent="0.3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 x14ac:dyDescent="0.3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 x14ac:dyDescent="0.3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 x14ac:dyDescent="0.3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 x14ac:dyDescent="0.3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 x14ac:dyDescent="0.3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 x14ac:dyDescent="0.3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 x14ac:dyDescent="0.3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 x14ac:dyDescent="0.3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 x14ac:dyDescent="0.3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 x14ac:dyDescent="0.3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 x14ac:dyDescent="0.3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x14ac:dyDescent="0.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 x14ac:dyDescent="0.3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 x14ac:dyDescent="0.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 x14ac:dyDescent="0.3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x14ac:dyDescent="0.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x14ac:dyDescent="0.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 x14ac:dyDescent="0.3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 x14ac:dyDescent="0.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x14ac:dyDescent="0.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 x14ac:dyDescent="0.3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 x14ac:dyDescent="0.3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 x14ac:dyDescent="0.3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 x14ac:dyDescent="0.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 x14ac:dyDescent="0.3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 x14ac:dyDescent="0.3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x14ac:dyDescent="0.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x14ac:dyDescent="0.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 x14ac:dyDescent="0.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x14ac:dyDescent="0.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 x14ac:dyDescent="0.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 x14ac:dyDescent="0.3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 x14ac:dyDescent="0.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 x14ac:dyDescent="0.3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 x14ac:dyDescent="0.3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 x14ac:dyDescent="0.3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 x14ac:dyDescent="0.3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 x14ac:dyDescent="0.3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 x14ac:dyDescent="0.3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 x14ac:dyDescent="0.3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 x14ac:dyDescent="0.3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 x14ac:dyDescent="0.3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 x14ac:dyDescent="0.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 x14ac:dyDescent="0.3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 x14ac:dyDescent="0.3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 x14ac:dyDescent="0.3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 x14ac:dyDescent="0.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 x14ac:dyDescent="0.3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 x14ac:dyDescent="0.3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x14ac:dyDescent="0.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 x14ac:dyDescent="0.3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x14ac:dyDescent="0.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x14ac:dyDescent="0.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 x14ac:dyDescent="0.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 x14ac:dyDescent="0.3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 x14ac:dyDescent="0.3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x14ac:dyDescent="0.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 x14ac:dyDescent="0.3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 x14ac:dyDescent="0.3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 x14ac:dyDescent="0.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 x14ac:dyDescent="0.3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 x14ac:dyDescent="0.3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 x14ac:dyDescent="0.3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 x14ac:dyDescent="0.3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 x14ac:dyDescent="0.3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 x14ac:dyDescent="0.3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 x14ac:dyDescent="0.3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 x14ac:dyDescent="0.3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 x14ac:dyDescent="0.3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 x14ac:dyDescent="0.3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 x14ac:dyDescent="0.3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x14ac:dyDescent="0.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x14ac:dyDescent="0.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x14ac:dyDescent="0.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 x14ac:dyDescent="0.3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 x14ac:dyDescent="0.3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 x14ac:dyDescent="0.3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x14ac:dyDescent="0.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 x14ac:dyDescent="0.3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 x14ac:dyDescent="0.3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x14ac:dyDescent="0.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x14ac:dyDescent="0.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x14ac:dyDescent="0.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x14ac:dyDescent="0.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x14ac:dyDescent="0.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 x14ac:dyDescent="0.3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x14ac:dyDescent="0.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 x14ac:dyDescent="0.3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 x14ac:dyDescent="0.3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 x14ac:dyDescent="0.3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 x14ac:dyDescent="0.3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 x14ac:dyDescent="0.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x14ac:dyDescent="0.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 x14ac:dyDescent="0.3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 x14ac:dyDescent="0.3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 x14ac:dyDescent="0.3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 x14ac:dyDescent="0.3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 x14ac:dyDescent="0.3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 x14ac:dyDescent="0.3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 x14ac:dyDescent="0.3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 x14ac:dyDescent="0.3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 x14ac:dyDescent="0.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 x14ac:dyDescent="0.3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 x14ac:dyDescent="0.3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 x14ac:dyDescent="0.3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 x14ac:dyDescent="0.3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 x14ac:dyDescent="0.3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 x14ac:dyDescent="0.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 x14ac:dyDescent="0.3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 x14ac:dyDescent="0.3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 x14ac:dyDescent="0.3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 x14ac:dyDescent="0.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 x14ac:dyDescent="0.3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 x14ac:dyDescent="0.3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 x14ac:dyDescent="0.3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 x14ac:dyDescent="0.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 x14ac:dyDescent="0.3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 x14ac:dyDescent="0.3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 x14ac:dyDescent="0.3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 x14ac:dyDescent="0.3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 x14ac:dyDescent="0.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 x14ac:dyDescent="0.3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 x14ac:dyDescent="0.3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 x14ac:dyDescent="0.3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 x14ac:dyDescent="0.3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 x14ac:dyDescent="0.3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 x14ac:dyDescent="0.3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x14ac:dyDescent="0.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x14ac:dyDescent="0.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 x14ac:dyDescent="0.3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 x14ac:dyDescent="0.3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 x14ac:dyDescent="0.3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 x14ac:dyDescent="0.3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x14ac:dyDescent="0.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 x14ac:dyDescent="0.3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 x14ac:dyDescent="0.3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x14ac:dyDescent="0.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x14ac:dyDescent="0.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x14ac:dyDescent="0.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 x14ac:dyDescent="0.3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 x14ac:dyDescent="0.3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 x14ac:dyDescent="0.3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x14ac:dyDescent="0.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 x14ac:dyDescent="0.3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 x14ac:dyDescent="0.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 x14ac:dyDescent="0.3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 x14ac:dyDescent="0.3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 x14ac:dyDescent="0.3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x14ac:dyDescent="0.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x14ac:dyDescent="0.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 x14ac:dyDescent="0.3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 x14ac:dyDescent="0.3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x14ac:dyDescent="0.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 x14ac:dyDescent="0.3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 x14ac:dyDescent="0.3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x14ac:dyDescent="0.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x14ac:dyDescent="0.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 x14ac:dyDescent="0.3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x14ac:dyDescent="0.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 x14ac:dyDescent="0.3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x14ac:dyDescent="0.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 x14ac:dyDescent="0.3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 x14ac:dyDescent="0.3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 x14ac:dyDescent="0.3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x14ac:dyDescent="0.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 x14ac:dyDescent="0.3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x14ac:dyDescent="0.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 x14ac:dyDescent="0.3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 x14ac:dyDescent="0.3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x14ac:dyDescent="0.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 x14ac:dyDescent="0.3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 x14ac:dyDescent="0.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 x14ac:dyDescent="0.3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 x14ac:dyDescent="0.3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 x14ac:dyDescent="0.3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x14ac:dyDescent="0.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 x14ac:dyDescent="0.3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 x14ac:dyDescent="0.3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 x14ac:dyDescent="0.3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 x14ac:dyDescent="0.3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 x14ac:dyDescent="0.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 x14ac:dyDescent="0.3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 x14ac:dyDescent="0.3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x14ac:dyDescent="0.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x14ac:dyDescent="0.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x14ac:dyDescent="0.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x14ac:dyDescent="0.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 x14ac:dyDescent="0.3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x14ac:dyDescent="0.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 x14ac:dyDescent="0.3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 x14ac:dyDescent="0.3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 x14ac:dyDescent="0.3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 x14ac:dyDescent="0.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x14ac:dyDescent="0.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x14ac:dyDescent="0.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x14ac:dyDescent="0.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x14ac:dyDescent="0.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 x14ac:dyDescent="0.3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x14ac:dyDescent="0.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x14ac:dyDescent="0.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 x14ac:dyDescent="0.3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 x14ac:dyDescent="0.3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 x14ac:dyDescent="0.3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x14ac:dyDescent="0.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 x14ac:dyDescent="0.3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 x14ac:dyDescent="0.3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x14ac:dyDescent="0.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x14ac:dyDescent="0.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 x14ac:dyDescent="0.3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x14ac:dyDescent="0.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x14ac:dyDescent="0.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x14ac:dyDescent="0.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 x14ac:dyDescent="0.3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 x14ac:dyDescent="0.3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 x14ac:dyDescent="0.3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 x14ac:dyDescent="0.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 x14ac:dyDescent="0.3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 x14ac:dyDescent="0.3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x14ac:dyDescent="0.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 x14ac:dyDescent="0.3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 x14ac:dyDescent="0.3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 x14ac:dyDescent="0.3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 x14ac:dyDescent="0.3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 x14ac:dyDescent="0.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x14ac:dyDescent="0.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x14ac:dyDescent="0.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x14ac:dyDescent="0.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 x14ac:dyDescent="0.3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 x14ac:dyDescent="0.3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x14ac:dyDescent="0.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 x14ac:dyDescent="0.3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 x14ac:dyDescent="0.3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x14ac:dyDescent="0.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 x14ac:dyDescent="0.3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 x14ac:dyDescent="0.3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 x14ac:dyDescent="0.3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x14ac:dyDescent="0.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 x14ac:dyDescent="0.3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x14ac:dyDescent="0.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 x14ac:dyDescent="0.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 x14ac:dyDescent="0.3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x14ac:dyDescent="0.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x14ac:dyDescent="0.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 x14ac:dyDescent="0.3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 x14ac:dyDescent="0.3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 x14ac:dyDescent="0.3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 x14ac:dyDescent="0.3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 x14ac:dyDescent="0.3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 x14ac:dyDescent="0.3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 x14ac:dyDescent="0.3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x14ac:dyDescent="0.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x14ac:dyDescent="0.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x14ac:dyDescent="0.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x14ac:dyDescent="0.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 x14ac:dyDescent="0.3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x14ac:dyDescent="0.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 x14ac:dyDescent="0.3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 x14ac:dyDescent="0.3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 x14ac:dyDescent="0.3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x14ac:dyDescent="0.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x14ac:dyDescent="0.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 x14ac:dyDescent="0.3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 x14ac:dyDescent="0.3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 x14ac:dyDescent="0.3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x14ac:dyDescent="0.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x14ac:dyDescent="0.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x14ac:dyDescent="0.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 x14ac:dyDescent="0.3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 x14ac:dyDescent="0.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 x14ac:dyDescent="0.3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 x14ac:dyDescent="0.3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 x14ac:dyDescent="0.3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 x14ac:dyDescent="0.3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 x14ac:dyDescent="0.3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 x14ac:dyDescent="0.3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 x14ac:dyDescent="0.3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x14ac:dyDescent="0.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 x14ac:dyDescent="0.3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x14ac:dyDescent="0.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x14ac:dyDescent="0.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x14ac:dyDescent="0.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 x14ac:dyDescent="0.3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 x14ac:dyDescent="0.3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x14ac:dyDescent="0.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 x14ac:dyDescent="0.3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 x14ac:dyDescent="0.3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 x14ac:dyDescent="0.3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 x14ac:dyDescent="0.3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 x14ac:dyDescent="0.3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 x14ac:dyDescent="0.3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 x14ac:dyDescent="0.3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 x14ac:dyDescent="0.3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 x14ac:dyDescent="0.3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 x14ac:dyDescent="0.3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 x14ac:dyDescent="0.3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 x14ac:dyDescent="0.3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 x14ac:dyDescent="0.3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 x14ac:dyDescent="0.3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 x14ac:dyDescent="0.3"/>
  <cols>
    <col min="2" max="2" width="21.85546875" bestFit="1" customWidth="1"/>
    <col min="3" max="3" width="10.7109375" bestFit="1" customWidth="1"/>
  </cols>
  <sheetData>
    <row r="1" spans="1:3" x14ac:dyDescent="0.3">
      <c r="A1" s="10" t="s">
        <v>961</v>
      </c>
      <c r="B1" s="10" t="s">
        <v>113</v>
      </c>
      <c r="C1" s="11" t="s">
        <v>114</v>
      </c>
    </row>
    <row r="2" spans="1:3" x14ac:dyDescent="0.3">
      <c r="A2" s="8">
        <v>1</v>
      </c>
      <c r="B2" s="12" t="s">
        <v>477</v>
      </c>
      <c r="C2" s="9" t="s">
        <v>478</v>
      </c>
    </row>
    <row r="3" spans="1:3" x14ac:dyDescent="0.3">
      <c r="A3" s="8">
        <v>2</v>
      </c>
      <c r="B3" s="12" t="s">
        <v>453</v>
      </c>
      <c r="C3" s="9" t="s">
        <v>454</v>
      </c>
    </row>
    <row r="4" spans="1:3" x14ac:dyDescent="0.3">
      <c r="A4" s="8">
        <v>3</v>
      </c>
      <c r="B4" s="12" t="s">
        <v>853</v>
      </c>
      <c r="C4" s="9" t="s">
        <v>854</v>
      </c>
    </row>
    <row r="5" spans="1:3" x14ac:dyDescent="0.3">
      <c r="A5" s="8">
        <v>4</v>
      </c>
      <c r="B5" s="12" t="s">
        <v>287</v>
      </c>
      <c r="C5" s="9" t="s">
        <v>288</v>
      </c>
    </row>
    <row r="6" spans="1:3" x14ac:dyDescent="0.3">
      <c r="A6" s="8">
        <v>5</v>
      </c>
      <c r="B6" s="12" t="s">
        <v>656</v>
      </c>
      <c r="C6" s="9" t="s">
        <v>657</v>
      </c>
    </row>
    <row r="7" spans="1:3" x14ac:dyDescent="0.3">
      <c r="A7" s="8">
        <v>6</v>
      </c>
      <c r="B7" s="12" t="s">
        <v>455</v>
      </c>
      <c r="C7" s="9" t="s">
        <v>456</v>
      </c>
    </row>
    <row r="8" spans="1:3" x14ac:dyDescent="0.3">
      <c r="A8" s="8">
        <v>7</v>
      </c>
      <c r="B8" s="12" t="s">
        <v>231</v>
      </c>
      <c r="C8" s="9" t="s">
        <v>232</v>
      </c>
    </row>
    <row r="9" spans="1:3" x14ac:dyDescent="0.3">
      <c r="A9" s="8">
        <v>8</v>
      </c>
      <c r="B9" s="12" t="s">
        <v>711</v>
      </c>
      <c r="C9" s="9" t="s">
        <v>712</v>
      </c>
    </row>
    <row r="10" spans="1:3" x14ac:dyDescent="0.3">
      <c r="A10" s="8">
        <v>9</v>
      </c>
      <c r="B10" s="12" t="s">
        <v>694</v>
      </c>
      <c r="C10" s="9" t="s">
        <v>695</v>
      </c>
    </row>
    <row r="11" spans="1:3" x14ac:dyDescent="0.3">
      <c r="A11" s="8">
        <v>10</v>
      </c>
      <c r="B11" s="12" t="s">
        <v>633</v>
      </c>
      <c r="C11" s="9" t="s">
        <v>634</v>
      </c>
    </row>
    <row r="12" spans="1:3" x14ac:dyDescent="0.3">
      <c r="A12" s="8">
        <v>11</v>
      </c>
      <c r="B12" s="12" t="s">
        <v>683</v>
      </c>
      <c r="C12" s="9" t="s">
        <v>684</v>
      </c>
    </row>
    <row r="13" spans="1:3" x14ac:dyDescent="0.3">
      <c r="A13" s="8">
        <v>12</v>
      </c>
      <c r="B13" s="12" t="s">
        <v>917</v>
      </c>
      <c r="C13" s="9" t="s">
        <v>918</v>
      </c>
    </row>
    <row r="14" spans="1:3" x14ac:dyDescent="0.3">
      <c r="A14" s="8">
        <v>13</v>
      </c>
      <c r="B14" s="12" t="s">
        <v>800</v>
      </c>
      <c r="C14" s="9" t="s">
        <v>801</v>
      </c>
    </row>
    <row r="15" spans="1:3" x14ac:dyDescent="0.3">
      <c r="A15" s="8">
        <v>14</v>
      </c>
      <c r="B15" s="12" t="s">
        <v>715</v>
      </c>
      <c r="C15" s="9" t="s">
        <v>716</v>
      </c>
    </row>
    <row r="16" spans="1:3" x14ac:dyDescent="0.3">
      <c r="A16" s="8">
        <v>15</v>
      </c>
      <c r="B16" s="12" t="s">
        <v>871</v>
      </c>
      <c r="C16" s="9" t="s">
        <v>872</v>
      </c>
    </row>
    <row r="17" spans="1:3" x14ac:dyDescent="0.3">
      <c r="A17" s="8">
        <v>16</v>
      </c>
      <c r="B17" s="12" t="s">
        <v>753</v>
      </c>
      <c r="C17" s="9" t="s">
        <v>754</v>
      </c>
    </row>
    <row r="18" spans="1:3" x14ac:dyDescent="0.3">
      <c r="A18" s="8">
        <v>17</v>
      </c>
      <c r="B18" s="12" t="s">
        <v>390</v>
      </c>
      <c r="C18" s="9" t="s">
        <v>391</v>
      </c>
    </row>
    <row r="19" spans="1:3" x14ac:dyDescent="0.3">
      <c r="A19" s="8">
        <v>18</v>
      </c>
      <c r="B19" s="12" t="s">
        <v>451</v>
      </c>
      <c r="C19" s="9" t="s">
        <v>452</v>
      </c>
    </row>
    <row r="20" spans="1:3" x14ac:dyDescent="0.3">
      <c r="A20" s="8">
        <v>19</v>
      </c>
      <c r="B20" s="12" t="s">
        <v>448</v>
      </c>
      <c r="C20" s="9" t="s">
        <v>449</v>
      </c>
    </row>
    <row r="21" spans="1:3" x14ac:dyDescent="0.3">
      <c r="A21" s="8">
        <v>20</v>
      </c>
      <c r="B21" s="12" t="s">
        <v>474</v>
      </c>
      <c r="C21" s="9" t="s">
        <v>475</v>
      </c>
    </row>
    <row r="22" spans="1:3" x14ac:dyDescent="0.3">
      <c r="A22" s="8">
        <v>21</v>
      </c>
      <c r="B22" s="12" t="s">
        <v>187</v>
      </c>
      <c r="C22" s="9" t="s">
        <v>188</v>
      </c>
    </row>
    <row r="23" spans="1:3" x14ac:dyDescent="0.3">
      <c r="A23" s="8">
        <v>22</v>
      </c>
      <c r="B23" s="12" t="s">
        <v>314</v>
      </c>
      <c r="C23" s="9" t="s">
        <v>315</v>
      </c>
    </row>
    <row r="24" spans="1:3" x14ac:dyDescent="0.3">
      <c r="A24" s="8">
        <v>23</v>
      </c>
      <c r="B24" s="12" t="s">
        <v>697</v>
      </c>
      <c r="C24" s="9" t="s">
        <v>698</v>
      </c>
    </row>
    <row r="25" spans="1:3" x14ac:dyDescent="0.3">
      <c r="A25" s="8">
        <v>24</v>
      </c>
      <c r="B25" s="12" t="s">
        <v>125</v>
      </c>
      <c r="C25" s="9" t="s">
        <v>126</v>
      </c>
    </row>
    <row r="26" spans="1:3" x14ac:dyDescent="0.3">
      <c r="A26" s="8">
        <v>25</v>
      </c>
      <c r="B26" s="12" t="s">
        <v>323</v>
      </c>
      <c r="C26" s="9" t="s">
        <v>324</v>
      </c>
    </row>
    <row r="27" spans="1:3" x14ac:dyDescent="0.3">
      <c r="A27" s="8">
        <v>26</v>
      </c>
      <c r="B27" s="12" t="s">
        <v>627</v>
      </c>
      <c r="C27" s="9" t="s">
        <v>628</v>
      </c>
    </row>
    <row r="28" spans="1:3" x14ac:dyDescent="0.3">
      <c r="A28" s="8">
        <v>27</v>
      </c>
      <c r="B28" s="12" t="s">
        <v>883</v>
      </c>
      <c r="C28" s="9" t="s">
        <v>884</v>
      </c>
    </row>
    <row r="29" spans="1:3" x14ac:dyDescent="0.3">
      <c r="A29" s="8">
        <v>28</v>
      </c>
      <c r="B29" s="12" t="s">
        <v>561</v>
      </c>
      <c r="C29" s="9" t="s">
        <v>562</v>
      </c>
    </row>
    <row r="30" spans="1:3" x14ac:dyDescent="0.3">
      <c r="A30" s="8">
        <v>29</v>
      </c>
      <c r="B30" s="12" t="s">
        <v>909</v>
      </c>
      <c r="C30" s="9" t="s">
        <v>910</v>
      </c>
    </row>
    <row r="31" spans="1:3" x14ac:dyDescent="0.3">
      <c r="A31" s="8">
        <v>30</v>
      </c>
      <c r="B31" s="12" t="s">
        <v>184</v>
      </c>
      <c r="C31" s="9" t="s">
        <v>185</v>
      </c>
    </row>
    <row r="32" spans="1:3" x14ac:dyDescent="0.3">
      <c r="A32" s="8">
        <v>31</v>
      </c>
      <c r="B32" s="12" t="s">
        <v>860</v>
      </c>
      <c r="C32" s="9" t="s">
        <v>861</v>
      </c>
    </row>
    <row r="33" spans="1:3" x14ac:dyDescent="0.3">
      <c r="A33" s="8">
        <v>32</v>
      </c>
      <c r="B33" s="12" t="s">
        <v>446</v>
      </c>
      <c r="C33" s="9" t="s">
        <v>447</v>
      </c>
    </row>
    <row r="34" spans="1:3" x14ac:dyDescent="0.3">
      <c r="A34" s="8">
        <v>33</v>
      </c>
      <c r="B34" s="12" t="s">
        <v>672</v>
      </c>
      <c r="C34" s="9" t="s">
        <v>673</v>
      </c>
    </row>
    <row r="35" spans="1:3" x14ac:dyDescent="0.3">
      <c r="A35" s="8">
        <v>34</v>
      </c>
      <c r="B35" s="12" t="s">
        <v>428</v>
      </c>
      <c r="C35" s="9" t="s">
        <v>429</v>
      </c>
    </row>
    <row r="36" spans="1:3" x14ac:dyDescent="0.3">
      <c r="A36" s="8">
        <v>35</v>
      </c>
      <c r="B36" s="12" t="s">
        <v>637</v>
      </c>
      <c r="C36" s="9" t="s">
        <v>638</v>
      </c>
    </row>
    <row r="37" spans="1:3" x14ac:dyDescent="0.3">
      <c r="A37" s="8">
        <v>36</v>
      </c>
      <c r="B37" s="12" t="s">
        <v>819</v>
      </c>
      <c r="C37" s="9" t="s">
        <v>820</v>
      </c>
    </row>
    <row r="38" spans="1:3" x14ac:dyDescent="0.3">
      <c r="A38" s="8">
        <v>37</v>
      </c>
      <c r="B38" s="12" t="s">
        <v>514</v>
      </c>
      <c r="C38" s="9" t="s">
        <v>515</v>
      </c>
    </row>
    <row r="39" spans="1:3" x14ac:dyDescent="0.3">
      <c r="A39" s="8">
        <v>38</v>
      </c>
      <c r="B39" s="12" t="s">
        <v>830</v>
      </c>
      <c r="C39" s="9" t="s">
        <v>831</v>
      </c>
    </row>
    <row r="40" spans="1:3" x14ac:dyDescent="0.3">
      <c r="A40" s="8">
        <v>39</v>
      </c>
      <c r="B40" s="12" t="s">
        <v>285</v>
      </c>
      <c r="C40" s="9" t="s">
        <v>286</v>
      </c>
    </row>
    <row r="41" spans="1:3" x14ac:dyDescent="0.3">
      <c r="A41" s="8">
        <v>40</v>
      </c>
      <c r="B41" s="12" t="s">
        <v>583</v>
      </c>
      <c r="C41" s="9" t="s">
        <v>584</v>
      </c>
    </row>
    <row r="42" spans="1:3" x14ac:dyDescent="0.3">
      <c r="A42" s="8">
        <v>41</v>
      </c>
      <c r="B42" s="12" t="s">
        <v>357</v>
      </c>
      <c r="C42" s="9" t="s">
        <v>358</v>
      </c>
    </row>
    <row r="43" spans="1:3" x14ac:dyDescent="0.3">
      <c r="A43" s="8">
        <v>42</v>
      </c>
      <c r="B43" s="12" t="s">
        <v>702</v>
      </c>
      <c r="C43" s="9" t="s">
        <v>703</v>
      </c>
    </row>
    <row r="44" spans="1:3" x14ac:dyDescent="0.3">
      <c r="A44" s="8">
        <v>43</v>
      </c>
      <c r="B44" s="12" t="s">
        <v>609</v>
      </c>
      <c r="C44" s="9" t="s">
        <v>610</v>
      </c>
    </row>
    <row r="45" spans="1:3" x14ac:dyDescent="0.3">
      <c r="A45" s="8">
        <v>44</v>
      </c>
      <c r="B45" s="12" t="s">
        <v>423</v>
      </c>
      <c r="C45" s="9" t="s">
        <v>424</v>
      </c>
    </row>
    <row r="46" spans="1:3" x14ac:dyDescent="0.3">
      <c r="A46" s="8">
        <v>45</v>
      </c>
      <c r="B46" s="12" t="s">
        <v>612</v>
      </c>
      <c r="C46" s="9" t="s">
        <v>613</v>
      </c>
    </row>
    <row r="47" spans="1:3" x14ac:dyDescent="0.3">
      <c r="A47" s="8">
        <v>46</v>
      </c>
      <c r="B47" s="12" t="s">
        <v>155</v>
      </c>
      <c r="C47" s="9" t="s">
        <v>156</v>
      </c>
    </row>
    <row r="48" spans="1:3" x14ac:dyDescent="0.3">
      <c r="A48" s="8">
        <v>47</v>
      </c>
      <c r="B48" s="12" t="s">
        <v>914</v>
      </c>
      <c r="C48" s="9" t="s">
        <v>915</v>
      </c>
    </row>
    <row r="49" spans="1:3" x14ac:dyDescent="0.3">
      <c r="A49" s="8">
        <v>48</v>
      </c>
      <c r="B49" s="12" t="s">
        <v>717</v>
      </c>
      <c r="C49" s="9" t="s">
        <v>718</v>
      </c>
    </row>
    <row r="50" spans="1:3" x14ac:dyDescent="0.3">
      <c r="A50" s="8">
        <v>49</v>
      </c>
      <c r="B50" s="12" t="s">
        <v>916</v>
      </c>
      <c r="C50" s="9" t="s">
        <v>475</v>
      </c>
    </row>
    <row r="51" spans="1:3" x14ac:dyDescent="0.3">
      <c r="A51" s="8">
        <v>50</v>
      </c>
      <c r="B51" s="12" t="s">
        <v>890</v>
      </c>
      <c r="C51" s="9" t="s">
        <v>891</v>
      </c>
    </row>
    <row r="52" spans="1:3" x14ac:dyDescent="0.3">
      <c r="A52" s="8">
        <v>51</v>
      </c>
      <c r="B52" s="12" t="s">
        <v>310</v>
      </c>
      <c r="C52" s="9" t="s">
        <v>311</v>
      </c>
    </row>
    <row r="53" spans="1:3" x14ac:dyDescent="0.3">
      <c r="A53" s="8">
        <v>52</v>
      </c>
      <c r="B53" s="12" t="s">
        <v>624</v>
      </c>
      <c r="C53" s="9" t="s">
        <v>625</v>
      </c>
    </row>
    <row r="54" spans="1:3" x14ac:dyDescent="0.3">
      <c r="A54" s="8">
        <v>53</v>
      </c>
      <c r="B54" s="12" t="s">
        <v>216</v>
      </c>
      <c r="C54" s="9" t="s">
        <v>217</v>
      </c>
    </row>
    <row r="55" spans="1:3" x14ac:dyDescent="0.3">
      <c r="A55" s="8">
        <v>54</v>
      </c>
      <c r="B55" s="12" t="s">
        <v>499</v>
      </c>
      <c r="C55" s="9" t="s">
        <v>500</v>
      </c>
    </row>
    <row r="56" spans="1:3" x14ac:dyDescent="0.3">
      <c r="A56" s="8">
        <v>55</v>
      </c>
      <c r="B56" s="12" t="s">
        <v>807</v>
      </c>
      <c r="C56" s="9" t="s">
        <v>288</v>
      </c>
    </row>
    <row r="57" spans="1:3" x14ac:dyDescent="0.3">
      <c r="A57" s="8">
        <v>56</v>
      </c>
      <c r="B57" s="12" t="s">
        <v>814</v>
      </c>
      <c r="C57" s="9" t="s">
        <v>815</v>
      </c>
    </row>
    <row r="58" spans="1:3" x14ac:dyDescent="0.3">
      <c r="A58" s="8">
        <v>57</v>
      </c>
      <c r="B58" s="12" t="s">
        <v>581</v>
      </c>
      <c r="C58" s="9" t="s">
        <v>582</v>
      </c>
    </row>
    <row r="59" spans="1:3" x14ac:dyDescent="0.3">
      <c r="A59" s="8">
        <v>58</v>
      </c>
      <c r="B59" s="12" t="s">
        <v>827</v>
      </c>
      <c r="C59" s="9" t="s">
        <v>828</v>
      </c>
    </row>
    <row r="60" spans="1:3" x14ac:dyDescent="0.3">
      <c r="A60" s="8">
        <v>59</v>
      </c>
      <c r="B60" s="12" t="s">
        <v>161</v>
      </c>
      <c r="C60" s="9" t="s">
        <v>162</v>
      </c>
    </row>
    <row r="61" spans="1:3" x14ac:dyDescent="0.3">
      <c r="A61" s="8">
        <v>60</v>
      </c>
      <c r="B61" s="12" t="s">
        <v>213</v>
      </c>
      <c r="C61" s="9" t="s">
        <v>214</v>
      </c>
    </row>
    <row r="62" spans="1:3" x14ac:dyDescent="0.3">
      <c r="A62" s="8">
        <v>61</v>
      </c>
      <c r="B62" s="12" t="s">
        <v>713</v>
      </c>
      <c r="C62" s="9" t="s">
        <v>714</v>
      </c>
    </row>
    <row r="63" spans="1:3" x14ac:dyDescent="0.3">
      <c r="A63" s="8">
        <v>62</v>
      </c>
      <c r="B63" s="12" t="s">
        <v>523</v>
      </c>
      <c r="C63" s="9" t="s">
        <v>524</v>
      </c>
    </row>
    <row r="64" spans="1:3" x14ac:dyDescent="0.3">
      <c r="A64" s="8">
        <v>63</v>
      </c>
      <c r="B64" s="12" t="s">
        <v>692</v>
      </c>
      <c r="C64" s="9" t="s">
        <v>693</v>
      </c>
    </row>
    <row r="65" spans="1:3" x14ac:dyDescent="0.3">
      <c r="A65" s="8">
        <v>64</v>
      </c>
      <c r="B65" s="12" t="s">
        <v>855</v>
      </c>
      <c r="C65" s="9" t="s">
        <v>856</v>
      </c>
    </row>
    <row r="66" spans="1:3" x14ac:dyDescent="0.3">
      <c r="A66" s="8">
        <v>65</v>
      </c>
      <c r="B66" s="12" t="s">
        <v>787</v>
      </c>
      <c r="C66" s="9" t="s">
        <v>788</v>
      </c>
    </row>
    <row r="67" spans="1:3" x14ac:dyDescent="0.3">
      <c r="A67" s="8">
        <v>66</v>
      </c>
      <c r="B67" s="12" t="s">
        <v>272</v>
      </c>
      <c r="C67" s="9" t="s">
        <v>273</v>
      </c>
    </row>
    <row r="68" spans="1:3" x14ac:dyDescent="0.3">
      <c r="A68" s="8">
        <v>67</v>
      </c>
      <c r="B68" s="12" t="s">
        <v>167</v>
      </c>
      <c r="C68" s="9" t="s">
        <v>168</v>
      </c>
    </row>
    <row r="69" spans="1:3" x14ac:dyDescent="0.3">
      <c r="A69" s="8">
        <v>68</v>
      </c>
      <c r="B69" s="12" t="s">
        <v>756</v>
      </c>
      <c r="C69" s="9" t="s">
        <v>757</v>
      </c>
    </row>
    <row r="70" spans="1:3" x14ac:dyDescent="0.3">
      <c r="A70" s="8">
        <v>69</v>
      </c>
      <c r="B70" s="12" t="s">
        <v>461</v>
      </c>
      <c r="C70" s="9" t="s">
        <v>462</v>
      </c>
    </row>
    <row r="71" spans="1:3" x14ac:dyDescent="0.3">
      <c r="A71" s="8">
        <v>70</v>
      </c>
      <c r="B71" s="12" t="s">
        <v>821</v>
      </c>
      <c r="C71" s="9" t="s">
        <v>822</v>
      </c>
    </row>
    <row r="72" spans="1:3" x14ac:dyDescent="0.3">
      <c r="A72" s="8">
        <v>71</v>
      </c>
      <c r="B72" s="12" t="s">
        <v>720</v>
      </c>
      <c r="C72" s="9" t="s">
        <v>721</v>
      </c>
    </row>
    <row r="73" spans="1:3" x14ac:dyDescent="0.3">
      <c r="A73" s="8">
        <v>72</v>
      </c>
      <c r="B73" s="12" t="s">
        <v>190</v>
      </c>
      <c r="C73" s="9" t="s">
        <v>191</v>
      </c>
    </row>
    <row r="74" spans="1:3" x14ac:dyDescent="0.3">
      <c r="A74" s="8">
        <v>73</v>
      </c>
      <c r="B74" s="12" t="s">
        <v>728</v>
      </c>
      <c r="C74" s="9" t="s">
        <v>729</v>
      </c>
    </row>
    <row r="75" spans="1:3" x14ac:dyDescent="0.3">
      <c r="A75" s="8">
        <v>74</v>
      </c>
      <c r="B75" s="12" t="s">
        <v>770</v>
      </c>
      <c r="C75" s="9" t="s">
        <v>771</v>
      </c>
    </row>
    <row r="76" spans="1:3" x14ac:dyDescent="0.3">
      <c r="A76" s="8">
        <v>75</v>
      </c>
      <c r="B76" s="12" t="s">
        <v>573</v>
      </c>
      <c r="C76" s="9" t="s">
        <v>574</v>
      </c>
    </row>
    <row r="77" spans="1:3" x14ac:dyDescent="0.3">
      <c r="A77" s="8">
        <v>76</v>
      </c>
      <c r="B77" s="12" t="s">
        <v>886</v>
      </c>
      <c r="C77" s="9" t="s">
        <v>887</v>
      </c>
    </row>
    <row r="78" spans="1:3" x14ac:dyDescent="0.3">
      <c r="A78" s="8">
        <v>77</v>
      </c>
      <c r="B78" s="12" t="s">
        <v>758</v>
      </c>
      <c r="C78" s="9" t="s">
        <v>759</v>
      </c>
    </row>
    <row r="79" spans="1:3" x14ac:dyDescent="0.3">
      <c r="A79" s="8">
        <v>78</v>
      </c>
      <c r="B79" s="12" t="s">
        <v>276</v>
      </c>
      <c r="C79" s="9" t="s">
        <v>277</v>
      </c>
    </row>
    <row r="80" spans="1:3" x14ac:dyDescent="0.3">
      <c r="A80" s="8">
        <v>79</v>
      </c>
      <c r="B80" s="12" t="s">
        <v>596</v>
      </c>
      <c r="C80" s="9" t="s">
        <v>597</v>
      </c>
    </row>
    <row r="81" spans="1:3" x14ac:dyDescent="0.3">
      <c r="A81" s="8">
        <v>80</v>
      </c>
      <c r="B81" s="12" t="s">
        <v>849</v>
      </c>
      <c r="C81" s="9" t="s">
        <v>850</v>
      </c>
    </row>
    <row r="82" spans="1:3" x14ac:dyDescent="0.3">
      <c r="A82" s="8">
        <v>81</v>
      </c>
      <c r="B82" s="12" t="s">
        <v>739</v>
      </c>
      <c r="C82" s="9" t="s">
        <v>740</v>
      </c>
    </row>
    <row r="83" spans="1:3" x14ac:dyDescent="0.3">
      <c r="A83" s="8">
        <v>82</v>
      </c>
      <c r="B83" s="12" t="s">
        <v>375</v>
      </c>
      <c r="C83" s="9" t="s">
        <v>376</v>
      </c>
    </row>
    <row r="84" spans="1:3" x14ac:dyDescent="0.3">
      <c r="A84" s="8">
        <v>83</v>
      </c>
      <c r="B84" s="12" t="s">
        <v>268</v>
      </c>
      <c r="C84" s="9" t="s">
        <v>269</v>
      </c>
    </row>
    <row r="85" spans="1:3" x14ac:dyDescent="0.3">
      <c r="A85" s="8">
        <v>84</v>
      </c>
      <c r="B85" s="12" t="s">
        <v>222</v>
      </c>
      <c r="C85" s="9" t="s">
        <v>223</v>
      </c>
    </row>
    <row r="86" spans="1:3" x14ac:dyDescent="0.3">
      <c r="A86" s="8">
        <v>85</v>
      </c>
      <c r="B86" s="12" t="s">
        <v>533</v>
      </c>
      <c r="C86" s="9" t="s">
        <v>534</v>
      </c>
    </row>
    <row r="87" spans="1:3" x14ac:dyDescent="0.3">
      <c r="A87" s="8">
        <v>86</v>
      </c>
      <c r="B87" s="12" t="s">
        <v>600</v>
      </c>
      <c r="C87" s="9" t="s">
        <v>601</v>
      </c>
    </row>
    <row r="88" spans="1:3" x14ac:dyDescent="0.3">
      <c r="A88" s="8">
        <v>87</v>
      </c>
      <c r="B88" s="12" t="s">
        <v>852</v>
      </c>
      <c r="C88" s="9" t="s">
        <v>426</v>
      </c>
    </row>
    <row r="89" spans="1:3" x14ac:dyDescent="0.3">
      <c r="A89" s="8">
        <v>88</v>
      </c>
      <c r="B89" s="12" t="s">
        <v>437</v>
      </c>
      <c r="C89" s="9" t="s">
        <v>438</v>
      </c>
    </row>
    <row r="90" spans="1:3" x14ac:dyDescent="0.3">
      <c r="A90" s="8">
        <v>89</v>
      </c>
      <c r="B90" s="12" t="s">
        <v>312</v>
      </c>
      <c r="C90" s="9" t="s">
        <v>313</v>
      </c>
    </row>
    <row r="91" spans="1:3" x14ac:dyDescent="0.3">
      <c r="A91" s="8">
        <v>90</v>
      </c>
      <c r="B91" s="12" t="s">
        <v>617</v>
      </c>
      <c r="C91" s="9" t="s">
        <v>618</v>
      </c>
    </row>
    <row r="92" spans="1:3" x14ac:dyDescent="0.3">
      <c r="A92" s="8">
        <v>91</v>
      </c>
      <c r="B92" s="12" t="s">
        <v>307</v>
      </c>
      <c r="C92" s="9" t="s">
        <v>308</v>
      </c>
    </row>
    <row r="93" spans="1:3" x14ac:dyDescent="0.3">
      <c r="A93" s="8">
        <v>92</v>
      </c>
      <c r="B93" s="12" t="s">
        <v>317</v>
      </c>
      <c r="C93" s="9" t="s">
        <v>318</v>
      </c>
    </row>
    <row r="94" spans="1:3" x14ac:dyDescent="0.3">
      <c r="A94" s="8">
        <v>93</v>
      </c>
      <c r="B94" s="12" t="s">
        <v>880</v>
      </c>
      <c r="C94" s="9" t="s">
        <v>881</v>
      </c>
    </row>
    <row r="95" spans="1:3" x14ac:dyDescent="0.3">
      <c r="A95" s="8">
        <v>94</v>
      </c>
      <c r="B95" s="12" t="s">
        <v>373</v>
      </c>
      <c r="C95" s="9" t="s">
        <v>374</v>
      </c>
    </row>
    <row r="96" spans="1:3" x14ac:dyDescent="0.3">
      <c r="A96" s="8">
        <v>95</v>
      </c>
      <c r="B96" s="12" t="s">
        <v>559</v>
      </c>
      <c r="C96" s="9" t="s">
        <v>560</v>
      </c>
    </row>
    <row r="97" spans="1:3" x14ac:dyDescent="0.3">
      <c r="A97" s="8">
        <v>96</v>
      </c>
      <c r="B97" s="12" t="s">
        <v>791</v>
      </c>
      <c r="C97" s="9" t="s">
        <v>792</v>
      </c>
    </row>
    <row r="98" spans="1:3" x14ac:dyDescent="0.3">
      <c r="A98" s="8">
        <v>97</v>
      </c>
      <c r="B98" s="12" t="s">
        <v>298</v>
      </c>
      <c r="C98" s="9" t="s">
        <v>299</v>
      </c>
    </row>
    <row r="99" spans="1:3" x14ac:dyDescent="0.3">
      <c r="A99" s="8">
        <v>98</v>
      </c>
      <c r="B99" s="12" t="s">
        <v>776</v>
      </c>
      <c r="C99" s="9" t="s">
        <v>777</v>
      </c>
    </row>
    <row r="100" spans="1:3" x14ac:dyDescent="0.3">
      <c r="A100" s="8">
        <v>99</v>
      </c>
      <c r="B100" s="12" t="s">
        <v>348</v>
      </c>
      <c r="C100" s="9" t="s">
        <v>349</v>
      </c>
    </row>
    <row r="101" spans="1:3" x14ac:dyDescent="0.3">
      <c r="A101" s="8">
        <v>100</v>
      </c>
      <c r="B101" s="12" t="s">
        <v>661</v>
      </c>
      <c r="C101" s="9" t="s">
        <v>662</v>
      </c>
    </row>
    <row r="102" spans="1:3" x14ac:dyDescent="0.3">
      <c r="A102" s="8">
        <v>101</v>
      </c>
      <c r="B102" s="12" t="s">
        <v>794</v>
      </c>
      <c r="C102" s="9" t="s">
        <v>795</v>
      </c>
    </row>
    <row r="103" spans="1:3" x14ac:dyDescent="0.3">
      <c r="A103" s="8">
        <v>102</v>
      </c>
      <c r="B103" s="12" t="s">
        <v>225</v>
      </c>
      <c r="C103" s="9" t="s">
        <v>226</v>
      </c>
    </row>
    <row r="104" spans="1:3" x14ac:dyDescent="0.3">
      <c r="A104" s="8">
        <v>103</v>
      </c>
      <c r="B104" s="12" t="s">
        <v>646</v>
      </c>
      <c r="C104" s="9" t="s">
        <v>647</v>
      </c>
    </row>
    <row r="105" spans="1:3" x14ac:dyDescent="0.3">
      <c r="A105" s="8">
        <v>104</v>
      </c>
      <c r="B105" s="12" t="s">
        <v>370</v>
      </c>
      <c r="C105" s="9" t="s">
        <v>371</v>
      </c>
    </row>
    <row r="106" spans="1:3" x14ac:dyDescent="0.3">
      <c r="A106" s="8">
        <v>105</v>
      </c>
      <c r="B106" s="12" t="s">
        <v>789</v>
      </c>
      <c r="C106" s="9" t="s">
        <v>790</v>
      </c>
    </row>
    <row r="107" spans="1:3" x14ac:dyDescent="0.3">
      <c r="A107" s="8">
        <v>106</v>
      </c>
      <c r="B107" s="12" t="s">
        <v>749</v>
      </c>
      <c r="C107" s="9" t="s">
        <v>750</v>
      </c>
    </row>
    <row r="108" spans="1:3" x14ac:dyDescent="0.3">
      <c r="A108" s="8">
        <v>107</v>
      </c>
      <c r="B108" s="12" t="s">
        <v>279</v>
      </c>
      <c r="C108" s="9" t="s">
        <v>280</v>
      </c>
    </row>
    <row r="109" spans="1:3" x14ac:dyDescent="0.3">
      <c r="A109" s="8">
        <v>108</v>
      </c>
      <c r="B109" s="12" t="s">
        <v>544</v>
      </c>
      <c r="C109" s="9" t="s">
        <v>545</v>
      </c>
    </row>
    <row r="110" spans="1:3" x14ac:dyDescent="0.3">
      <c r="A110" s="8">
        <v>109</v>
      </c>
      <c r="B110" s="12" t="s">
        <v>924</v>
      </c>
      <c r="C110" s="9" t="s">
        <v>925</v>
      </c>
    </row>
    <row r="111" spans="1:3" x14ac:dyDescent="0.3">
      <c r="A111" s="8">
        <v>110</v>
      </c>
      <c r="B111" s="12" t="s">
        <v>747</v>
      </c>
      <c r="C111" s="9" t="s">
        <v>748</v>
      </c>
    </row>
    <row r="112" spans="1:3" x14ac:dyDescent="0.3">
      <c r="A112" s="8">
        <v>111</v>
      </c>
      <c r="B112" s="12" t="s">
        <v>650</v>
      </c>
      <c r="C112" s="9" t="s">
        <v>515</v>
      </c>
    </row>
    <row r="113" spans="1:3" x14ac:dyDescent="0.3">
      <c r="A113" s="8">
        <v>112</v>
      </c>
      <c r="B113" s="12" t="s">
        <v>869</v>
      </c>
      <c r="C113" s="9" t="s">
        <v>870</v>
      </c>
    </row>
    <row r="114" spans="1:3" x14ac:dyDescent="0.3">
      <c r="A114" s="8">
        <v>113</v>
      </c>
      <c r="B114" s="12" t="s">
        <v>425</v>
      </c>
      <c r="C114" s="9" t="s">
        <v>426</v>
      </c>
    </row>
    <row r="115" spans="1:3" x14ac:dyDescent="0.3">
      <c r="A115" s="8">
        <v>114</v>
      </c>
      <c r="B115" s="12" t="s">
        <v>381</v>
      </c>
      <c r="C115" s="9" t="s">
        <v>382</v>
      </c>
    </row>
    <row r="116" spans="1:3" x14ac:dyDescent="0.3">
      <c r="A116" s="8">
        <v>115</v>
      </c>
      <c r="B116" s="12" t="s">
        <v>365</v>
      </c>
      <c r="C116" s="9" t="s">
        <v>366</v>
      </c>
    </row>
    <row r="117" spans="1:3" x14ac:dyDescent="0.3">
      <c r="A117" s="8">
        <v>116</v>
      </c>
      <c r="B117" s="12" t="s">
        <v>690</v>
      </c>
      <c r="C117" s="9" t="s">
        <v>691</v>
      </c>
    </row>
    <row r="118" spans="1:3" x14ac:dyDescent="0.3">
      <c r="A118" s="8">
        <v>117</v>
      </c>
      <c r="B118" s="12" t="s">
        <v>134</v>
      </c>
      <c r="C118" s="9" t="s">
        <v>135</v>
      </c>
    </row>
    <row r="119" spans="1:3" x14ac:dyDescent="0.3">
      <c r="A119" s="8">
        <v>118</v>
      </c>
      <c r="B119" s="12" t="s">
        <v>586</v>
      </c>
      <c r="C119" s="9" t="s">
        <v>587</v>
      </c>
    </row>
    <row r="120" spans="1:3" x14ac:dyDescent="0.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cap_ultra_merge</vt:lpstr>
      <vt:lpstr>cap_ultra_merge_1</vt:lpstr>
      <vt:lpstr>cap_ultra</vt:lpstr>
      <vt:lpstr>hat5</vt:lpstr>
      <vt:lpstr>Sơ đồ công đoạn (3)</vt:lpstr>
      <vt:lpstr>Example_1</vt:lpstr>
      <vt:lpstr>Example_1_Alt</vt:lpstr>
      <vt:lpstr>Example_2</vt:lpstr>
      <vt:lpstr>cap_ultra_merge_2</vt:lpstr>
      <vt:lpstr>cap_ultra_merge_3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2022-08-24T07:51:39Z</dcterms:modified>
</cp:coreProperties>
</file>