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W_TTD\"/>
    </mc:Choice>
  </mc:AlternateContent>
  <xr:revisionPtr revIDLastSave="0" documentId="13_ncr:1_{640E71E3-C0FE-4F96-9C06-1F99C273B065}" xr6:coauthVersionLast="47" xr6:coauthVersionMax="47" xr10:uidLastSave="{00000000-0000-0000-0000-000000000000}"/>
  <bookViews>
    <workbookView xWindow="-28920" yWindow="-120" windowWidth="29040" windowHeight="15840" tabRatio="850" firstSheet="2" activeTab="2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hat5" sheetId="36" r:id="rId11"/>
    <sheet name="Line_Details" sheetId="5" r:id="rId12"/>
    <sheet name="Workstation_Allocation" sheetId="17" r:id="rId13"/>
    <sheet name="Allocation_Graph" sheetId="16" r:id="rId14"/>
    <sheet name="Output" sheetId="15" r:id="rId15"/>
    <sheet name="Example_1" sheetId="8" r:id="rId16"/>
    <sheet name="Example_1_Alt" sheetId="21" r:id="rId17"/>
    <sheet name="Example_2" sheetId="10" r:id="rId18"/>
    <sheet name="Sheet2" sheetId="14" state="hidden" r:id="rId19"/>
    <sheet name="Colors" sheetId="13" state="hidden" r:id="rId20"/>
  </sheets>
  <definedNames>
    <definedName name="_xlnm._FilterDatabase" localSheetId="19" hidden="1">Colors!$A$1:$C$120</definedName>
    <definedName name="_xlnm._FilterDatabase" localSheetId="15" hidden="1">Example_1!$B$4:$G$69</definedName>
    <definedName name="_xlnm._FilterDatabase" localSheetId="16" hidden="1">Example_1_Alt!$B$4:$G$58</definedName>
    <definedName name="_xlnm._FilterDatabase" localSheetId="17" hidden="1">Example_2!$B$4:$G$16</definedName>
    <definedName name="_xlnm._FilterDatabase" localSheetId="11" hidden="1">Line_Details!$B$4:$G$58</definedName>
    <definedName name="_xlnm._FilterDatabase" localSheetId="18" hidden="1">Sheet2!$A$1:$M$338</definedName>
    <definedName name="ExternalData_1" localSheetId="12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4" l="1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<sst xmlns="http://schemas.openxmlformats.org/spreadsheetml/2006/main" count="2567" uniqueCount="1132">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</sst>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16" fillId="0" borderId="0"/>
  </cellStyleXfs>
  <cellXfs count="401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B2821FF3-A614-42F2-9D72-74CF5E7E69E4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16" sqref="C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MAX(Line_Details!$F:$F)</f>
        <v>1.819</v>
      </c>
    </row>
    <row r="15" spans="2:3" x14ac:dyDescent="0.3">
      <c r="B15" s="381" t="s">
        <v>108</v>
      </c>
      <c r="C15" s="380">
        <f>ROUND(C7/C14,0)</f>
        <v>264</v>
      </c>
    </row>
    <row r="16" spans="2:3" ht="31.5" x14ac:dyDescent="0.3">
      <c r="B16" s="383" t="s">
        <v>109</v>
      </c>
      <c r="C16" s="382">
        <f>MAX(C13,C14)</f>
        <v>1.819</v>
      </c>
    </row>
    <row r="17" spans="2:3" x14ac:dyDescent="0.3">
      <c r="B17" s="381" t="s">
        <v>111</v>
      </c>
      <c r="C17" s="380">
        <f>ROUNDUP(SUM(Line_Details!$F:$F)/C16,0)</f>
        <v>23</v>
      </c>
    </row>
    <row r="18" spans="2:3" ht="16.5" thickBot="1" x14ac:dyDescent="0.35">
      <c r="B18" s="379" t="s">
        <v>110</v>
      </c>
      <c r="C18" s="378">
        <f>MAX(Line_Details!$B:$B)</f>
        <v>54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dimension ref="A2:F36"/>
  <sheetViews>
    <sheetView workbookViewId="0">
      <selection activeCell="C27" sqref="C2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MAX('hat5'!$F:$F)</f>
        <v>1.67</v>
      </c>
    </row>
    <row r="15" spans="2:3" x14ac:dyDescent="0.3">
      <c r="B15" s="381" t="s">
        <v>108</v>
      </c>
      <c r="C15" s="380">
        <f>ROUND(C7/C14,0)</f>
        <v>275</v>
      </c>
    </row>
    <row r="16" spans="2:3" ht="31.5" x14ac:dyDescent="0.3">
      <c r="B16" s="383" t="s">
        <v>109</v>
      </c>
      <c r="C16" s="382">
        <f>MAX(C13,C14)</f>
        <v>1.67</v>
      </c>
    </row>
    <row r="17" spans="2:3" x14ac:dyDescent="0.3">
      <c r="B17" s="381" t="s">
        <v>111</v>
      </c>
      <c r="C17" s="380">
        <f>ROUNDUP(SUM('hat5'!$F:$F)/C16,0)</f>
        <v>13</v>
      </c>
    </row>
    <row r="18" spans="2:3" ht="16.5" thickBot="1" x14ac:dyDescent="0.35">
      <c r="B18" s="379" t="s">
        <v>110</v>
      </c>
      <c r="C18" s="378">
        <f>MAX('hat5'!$B:$B)</f>
        <v>32</v>
      </c>
    </row>
    <row r="19" spans="2:3" ht="16.5" thickTop="1" x14ac:dyDescent="0.3"/>
    <row r="25" spans="2:3" x14ac:dyDescent="0.3">
      <c r="B25" s="377"/>
    </row>
    <row r="27" spans="2:3" x14ac:dyDescent="0.3">
      <c r="C27" s="376">
        <f xml:space="preserve"> 275/200</f>
        <v>1.375</v>
      </c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dimension ref="A2:F36"/>
  <sheetViews>
    <sheetView tabSelected="1" workbookViewId="0">
      <selection activeCell="C21" sqref="C21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ROUNDUP(SUM('hat2'!$F:$F)/C16,0)</f>
        <v>13</v>
      </c>
    </row>
    <row r="18" spans="2:3" ht="16.5" thickBot="1" x14ac:dyDescent="0.35">
      <c r="B18" s="379" t="s">
        <v>110</v>
      </c>
      <c r="C18" s="378">
        <f>MAX('hat2'!$B:$B)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dimension ref="A2:F36"/>
  <sheetViews>
    <sheetView workbookViewId="0">
      <selection activeCell="C17" sqref="C1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dimension ref="A1:J38"/>
  <sheetViews>
    <sheetView zoomScaleNormal="100" workbookViewId="0">
      <selection activeCell="E44" sqref="E4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 x14ac:dyDescent="0.3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dimension ref="A1:J35"/>
  <sheetViews>
    <sheetView topLeftCell="A19" zoomScaleNormal="100" workbookViewId="0">
      <selection activeCell="F29" sqref="F2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dimension ref="A1:J35"/>
  <sheetViews>
    <sheetView topLeftCell="A4" zoomScaleNormal="100" workbookViewId="0">
      <selection activeCell="I12" sqref="I1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 x14ac:dyDescent="0.3">
      <c r="B1" s="2"/>
      <c r="C1" s="2"/>
      <c r="D1" s="2"/>
    </row>
    <row r="2" spans="2:9" x14ac:dyDescent="0.3">
      <c r="B2" s="398" t="s">
        <v>965</v>
      </c>
      <c r="C2" s="398"/>
      <c r="D2" s="398"/>
      <c r="E2" s="398"/>
      <c r="F2" s="398"/>
      <c r="G2" s="398"/>
    </row>
    <row r="4" spans="2:9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dimension ref="A1:J36"/>
  <sheetViews>
    <sheetView zoomScaleNormal="100" workbookViewId="0">
      <selection activeCell="F4" sqref="F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dimension ref="B1:XEU36"/>
  <sheetViews>
    <sheetView zoomScaleNormal="100" workbookViewId="0">
      <selection activeCell="F31" sqref="F31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1.67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399" t="s">
        <v>987</v>
      </c>
      <c r="C2" s="399"/>
      <c r="D2" s="399"/>
      <c r="E2" s="399"/>
      <c r="F2" s="399"/>
      <c r="G2" s="399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topLeftCell="A1048576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399" t="s">
        <v>968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00" t="s">
        <v>966</v>
      </c>
      <c r="C2" s="400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hat5</vt:lpstr>
      <vt:lpstr>Line_Details</vt:lpstr>
      <vt:lpstr>Workstation_Allocation</vt:lpstr>
      <vt:lpstr>Allocation_Graph</vt:lpstr>
      <vt:lpstr>Output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2022-08-09T05:35:40Z</dcterms:modified>
</cp:coreProperties>
</file>